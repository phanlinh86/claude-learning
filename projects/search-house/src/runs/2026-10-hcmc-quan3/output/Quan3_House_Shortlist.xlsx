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Websites" sheetId="2" state="visible" r:id="rId4"/>
    <sheet name="All listings" sheetId="3" state="visible" r:id="rId5"/>
    <sheet name="Shortlist" sheetId="4" state="visible" r:id="rId6"/>
  </sheets>
  <definedNames>
    <definedName function="false" hidden="true" localSheetId="2" name="_xlnm._FilterDatabase" vbProcedure="false">'All listings'!$A$1:$N$44</definedName>
    <definedName function="false" hidden="true" localSheetId="3" name="_xlnm._FilterDatabase" vbProcedure="false">Shortlist!$A$1:$AA$13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1" authorId="0">
      <text>
        <r>
          <rPr>
            <sz val="10"/>
            <rFont val="Arial"/>
            <family val="2"/>
          </rPr>
          <t xml:space="preserve">1-5 from research agents: security reputation, flooding, traffic, planning</t>
        </r>
      </text>
    </comment>
    <comment ref="W1" authorId="0">
      <text>
        <r>
          <rPr>
            <sz val="10"/>
            <rFont val="Arial"/>
            <family val="2"/>
          </rPr>
          <t xml:space="preserve">1-5: how much of the ad (address, title, size) could be confirmed</t>
        </r>
      </text>
    </comment>
  </commentList>
</comments>
</file>

<file path=xl/sharedStrings.xml><?xml version="1.0" encoding="utf-8"?>
<sst xmlns="http://schemas.openxmlformats.org/spreadsheetml/2006/main" count="583" uniqueCount="347">
  <si>
    <t xml:space="preserve">House Shortlist – Quận 3</t>
  </si>
  <si>
    <t xml:space="preserve">Prepared</t>
  </si>
  <si>
    <t xml:space="preserve">27 Oct 2026</t>
  </si>
  <si>
    <t xml:space="preserve">Exchange rate (VND per USD)</t>
  </si>
  <si>
    <t xml:space="preserve">Budget (USD)</t>
  </si>
  <si>
    <t xml:space="preserve">Budget in VND billion (tỷ)</t>
  </si>
  <si>
    <t xml:space="preserve">Minimum land area (m2)</t>
  </si>
  <si>
    <t xml:space="preserve">Request</t>
  </si>
  <si>
    <t xml:space="preserve">single-family, ≥ 3 bedrooms, alley OK, car access preferred</t>
  </si>
  <si>
    <t xml:space="preserve">Sheets</t>
  </si>
  <si>
    <t xml:space="preserve">Websites = best sites to search. All listings = every ad collected, with budget/area checks. Shortlist = houses passing the filter (plus two slightly-over-budget Quận 3 stretch options), with nearby market, supermarket, primary school, hospital, safety notes and scores.</t>
  </si>
  <si>
    <t xml:space="preserve">Edit</t>
  </si>
  <si>
    <t xml:space="preserve">Yellow cells are inputs. Change the exchange rate, budget or minimum area and every USD price and pass/fail check recalculates.</t>
  </si>
  <si>
    <t xml:space="preserve">Scoring</t>
  </si>
  <si>
    <t xml:space="preserve">Safety, Livability, Value and Verification are 1-5 from the research agents. Total = Safety + Livability + Value + 2 x Verification (title/address confirmation counts double).</t>
  </si>
  <si>
    <t xml:space="preserve">Ward names</t>
  </si>
  <si>
    <t xml:space="preserve">HCMC merged wards on 1 July 2025: old Quận 3 wards are now Bàn Cờ (old P1-3, P5), Xuân Hòa (old Võ Thị Sáu, P4) and Nhiêu Lộc (old P9, P11-14). Neighbouring old Phú Nhuận wards are now Phú Nhuận, Đức Nhuận, Cầu Kiệu; old Tân Bình P4-7 near CMT8 are now Tân Sơn Nhất / Tân Hòa.</t>
  </si>
  <si>
    <t xml:space="preserve">Caveats</t>
  </si>
  <si>
    <t xml:space="preserve">Distances are estimates, not map measurements - check on Google Maps. Several listing pages blocked automated access. Always see the sổ hồng (title), hoàn công (completion certificate) and a planning (quy hoạch) check before any deposit.</t>
  </si>
  <si>
    <t xml:space="preserve">Rate source</t>
  </si>
  <si>
    <t xml:space="preserve">Vietcombank transfer buying rate 25,660 on 27/10/2026: https://webgia.com/ty-gia/vietcombank/</t>
  </si>
  <si>
    <t xml:space="preserve">Website</t>
  </si>
  <si>
    <t xml:space="preserve">URL</t>
  </si>
  <si>
    <t xml:space="preserve">Why use it</t>
  </si>
  <si>
    <t xml:space="preserve">batdongsan.com.vn</t>
  </si>
  <si>
    <t xml:space="preserve">https://batdongsan.com.vn</t>
  </si>
  <si>
    <t xml:space="preserve">Largest portal; most Quận 3 stock. Blocks automated reading, so browse it yourself.</t>
  </si>
  <si>
    <t xml:space="preserve">nhatot.com (Chợ Tốt Nhà)</t>
  </si>
  <si>
    <t xml:space="preserve">https://www.nhatot.com</t>
  </si>
  <si>
    <t xml:space="preserve">Many owner (chính chủ) posts; good price/area filters.</t>
  </si>
  <si>
    <t xml:space="preserve">muaban.net</t>
  </si>
  <si>
    <t xml:space="preserve">https://muaban.net/bat-dong-san</t>
  </si>
  <si>
    <t xml:space="preserve">Large classifieds with ward pages; main source for this shortlist.</t>
  </si>
  <si>
    <t xml:space="preserve">bds68.com.vn</t>
  </si>
  <si>
    <t xml:space="preserve">https://bds68.com.vn</t>
  </si>
  <si>
    <t xml:space="preserve">Filters by bedrooms and price; good Quận 3 / Tân Bình coverage.</t>
  </si>
  <si>
    <t xml:space="preserve">alonhadat.com.vn</t>
  </si>
  <si>
    <t xml:space="preserve">https://alonhadat.com.vn</t>
  </si>
  <si>
    <t xml:space="preserve">Street-level pages with average price per m2 (Quận 3 ≈ 226 tr/m2).</t>
  </si>
  <si>
    <t xml:space="preserve">dinhgianha.vn</t>
  </si>
  <si>
    <t xml:space="preserve">https://dinhgianha.vn</t>
  </si>
  <si>
    <t xml:space="preserve">Phú Nhuận / Tân Bình listings with alley width and price per m2.</t>
  </si>
  <si>
    <t xml:space="preserve">mogi.vn</t>
  </si>
  <si>
    <t xml:space="preserve">https://mogi.vn</t>
  </si>
  <si>
    <t xml:space="preserve">Ward price ranges; mostly street-front stock in Quận 3.</t>
  </si>
  <si>
    <t xml:space="preserve">homedy.com / i-batdongsan.com</t>
  </si>
  <si>
    <t xml:space="preserve">https://homedy.com</t>
  </si>
  <si>
    <t xml:space="preserve">Aggregators - useful to spot reposts and stale ads.</t>
  </si>
  <si>
    <t xml:space="preserve">#</t>
  </si>
  <si>
    <t xml:space="preserve">Site</t>
  </si>
  <si>
    <t xml:space="preserve">Listing title</t>
  </si>
  <si>
    <t xml:space="preserve">Link</t>
  </si>
  <si>
    <t xml:space="preserve">Area</t>
  </si>
  <si>
    <t xml:space="preserve">Ward (new/old)</t>
  </si>
  <si>
    <t xml:space="preserve">Land m2</t>
  </si>
  <si>
    <t xml:space="preserve">Price (tỷ VND)</t>
  </si>
  <si>
    <t xml:space="preserve">Posted</t>
  </si>
  <si>
    <t xml:space="preserve">Price (USD)</t>
  </si>
  <si>
    <t xml:space="preserve">tr VND / m2</t>
  </si>
  <si>
    <t xml:space="preserve">&gt; min area?</t>
  </si>
  <si>
    <t xml:space="preserve">Within budget?</t>
  </si>
  <si>
    <t xml:space="preserve">Outcome / reason</t>
  </si>
  <si>
    <t xml:space="preserve">bds68</t>
  </si>
  <si>
    <t xml:space="preserve">Trương Định, gần CV Tao Đàn, 68m2</t>
  </si>
  <si>
    <t xml:space="preserve">Open ad</t>
  </si>
  <si>
    <t xml:space="preserve">Quận 3</t>
  </si>
  <si>
    <t xml:space="preserve">Xuân Hòa (Võ Thị Sáu)</t>
  </si>
  <si>
    <t xml:space="preserve">27/10/2026</t>
  </si>
  <si>
    <t xml:space="preserve">Over budget</t>
  </si>
  <si>
    <t xml:space="preserve">HXH Nguyễn Đình Chiểu 3.3x10m</t>
  </si>
  <si>
    <t xml:space="preserve">Bàn Cờ (P5)</t>
  </si>
  <si>
    <t xml:space="preserve">Over budget, &lt;50m2</t>
  </si>
  <si>
    <t xml:space="preserve">Hẻm 4m Lý Chính Thắng 4 tầng</t>
  </si>
  <si>
    <t xml:space="preserve">Xuân Hòa</t>
  </si>
  <si>
    <t xml:space="preserve">26/10/2026</t>
  </si>
  <si>
    <t xml:space="preserve">&lt;50m2</t>
  </si>
  <si>
    <t xml:space="preserve">263/2 Nguyễn Đình Chiểu 27m2</t>
  </si>
  <si>
    <t xml:space="preserve">Hẻm 4m 134 Lý Chính Thắng 50.6m2</t>
  </si>
  <si>
    <t xml:space="preserve">Over budget (~$316k)</t>
  </si>
  <si>
    <t xml:space="preserve">CMT8 sát MT tuyến metro 48m2</t>
  </si>
  <si>
    <t xml:space="preserve">Nhiêu Lộc (P11)</t>
  </si>
  <si>
    <t xml:space="preserve">25/10/2026</t>
  </si>
  <si>
    <t xml:space="preserve">HXH Nguyễn Phúc Nguyên 68m2</t>
  </si>
  <si>
    <t xml:space="preserve">Nhiêu Lộc (P9)</t>
  </si>
  <si>
    <t xml:space="preserve">Hẻm nhựa 7m Lê Văn Sỹ 110m2</t>
  </si>
  <si>
    <t xml:space="preserve">Nhiêu Lộc (P13)</t>
  </si>
  <si>
    <t xml:space="preserve">22/10/2026</t>
  </si>
  <si>
    <t xml:space="preserve">Shortlisted Q3-D (stretch)</t>
  </si>
  <si>
    <t xml:space="preserve">362/25 Nguyễn Đình Chiểu 27m2</t>
  </si>
  <si>
    <t xml:space="preserve">Bàn Cờ (P4)</t>
  </si>
  <si>
    <t xml:space="preserve">19/10/2026</t>
  </si>
  <si>
    <t xml:space="preserve">Hẻm 4m Rạch Bùng Binh 51.5m2 3PN</t>
  </si>
  <si>
    <t xml:space="preserve">15/10/2026</t>
  </si>
  <si>
    <t xml:space="preserve">Shortlisted Q3-C (stretch)</t>
  </si>
  <si>
    <t xml:space="preserve">Trần Quang Diệu 4x14m</t>
  </si>
  <si>
    <t xml:space="preserve">Nhiêu Lộc (P14)</t>
  </si>
  <si>
    <t xml:space="preserve">HXH Vườn Chuối 34m2 5 tầng</t>
  </si>
  <si>
    <t xml:space="preserve">14/10/2026</t>
  </si>
  <si>
    <t xml:space="preserve">muaban</t>
  </si>
  <si>
    <t xml:space="preserve">Nguyễn Thiện Thuật, chợ Bàn Cờ, 58m2</t>
  </si>
  <si>
    <t xml:space="preserve">Bàn Cờ (P3)</t>
  </si>
  <si>
    <t xml:space="preserve">Shortlisted Q3-A</t>
  </si>
  <si>
    <t xml:space="preserve">Hẻm 62 Lý Chính Thắng, sổ CN 60m2</t>
  </si>
  <si>
    <t xml:space="preserve">Shortlisted Q3-B (avoid)</t>
  </si>
  <si>
    <t xml:space="preserve">Hẻm 62 Lý Chính Thắng 31m2</t>
  </si>
  <si>
    <t xml:space="preserve">20/10/2026</t>
  </si>
  <si>
    <t xml:space="preserve">&lt;50m2 (price benchmark for Q3-B)</t>
  </si>
  <si>
    <t xml:space="preserve">HXH 451 Hai Bà Trưng 60m2</t>
  </si>
  <si>
    <t xml:space="preserve">Hẻm 4m Lê Văn Sỹ 53m2 2PN</t>
  </si>
  <si>
    <t xml:space="preserve">Nhiêu Lộc (P12)</t>
  </si>
  <si>
    <t xml:space="preserve">Over budget, only 2 PN</t>
  </si>
  <si>
    <t xml:space="preserve">457/9 Điện Biên Phủ 2 mặt hẻm</t>
  </si>
  <si>
    <t xml:space="preserve">Bàn Cờ HXH CX Đô Thành 32m2</t>
  </si>
  <si>
    <t xml:space="preserve">Bàn Cờ sát HXH ĐBP 29m2</t>
  </si>
  <si>
    <t xml:space="preserve">Bàn Cờ (P1)</t>
  </si>
  <si>
    <t xml:space="preserve">Hẻm 10m Bà Huyện Thanh Quan 105m2</t>
  </si>
  <si>
    <t xml:space="preserve">Xuân Hòa (P9)</t>
  </si>
  <si>
    <t xml:space="preserve">Price not stated (likely far over budget)</t>
  </si>
  <si>
    <t xml:space="preserve">Cao Thắng 45.4m2</t>
  </si>
  <si>
    <t xml:space="preserve">Lô góc hẻm 6m Lê Văn Sỹ 38m2</t>
  </si>
  <si>
    <t xml:space="preserve">alonhadat</t>
  </si>
  <si>
    <t xml:space="preserve">Rạch Bùng Binh hẻm ô tô 52m2 3PN (repost)</t>
  </si>
  <si>
    <t xml:space="preserve">Duplicate of Q3-C</t>
  </si>
  <si>
    <t xml:space="preserve">Rạch Bùng Binh 51m2 6PN</t>
  </si>
  <si>
    <t xml:space="preserve">10/09/2026</t>
  </si>
  <si>
    <t xml:space="preserve">Rạch Bùng Binh 84m2 ngang 6m</t>
  </si>
  <si>
    <t xml:space="preserve">07/10/2026</t>
  </si>
  <si>
    <t xml:space="preserve">HXH Đặng Văn Ngữ 54m2 4PN</t>
  </si>
  <si>
    <t xml:space="preserve">Phú Nhuận</t>
  </si>
  <si>
    <t xml:space="preserve">Phú Nhuận (P10)</t>
  </si>
  <si>
    <t xml:space="preserve">04/10/2026</t>
  </si>
  <si>
    <t xml:space="preserve">Shortlisted PN-1</t>
  </si>
  <si>
    <t xml:space="preserve">Trường Sa 60.7m2 3PN</t>
  </si>
  <si>
    <t xml:space="preserve">Phú Nhuận (P13)</t>
  </si>
  <si>
    <t xml:space="preserve">Shortlisted PN-2</t>
  </si>
  <si>
    <t xml:space="preserve">dinhgianha</t>
  </si>
  <si>
    <t xml:space="preserve">Trần Hữu Trang 60m2 3PN</t>
  </si>
  <si>
    <t xml:space="preserve">Shortlisted PN-3</t>
  </si>
  <si>
    <t xml:space="preserve">Hẻm 491 Lê Văn Sỹ 56m2 5PN (in Quận 3)</t>
  </si>
  <si>
    <t xml:space="preserve">Nhiêu Lộc (Q3)</t>
  </si>
  <si>
    <t xml:space="preserve">Shortlisted Q3-E</t>
  </si>
  <si>
    <t xml:space="preserve">Hẻm Nguyễn Kiệm 70m2 5PN</t>
  </si>
  <si>
    <t xml:space="preserve">Đức Nhuận</t>
  </si>
  <si>
    <t xml:space="preserve">Shortlisted PN-5</t>
  </si>
  <si>
    <t xml:space="preserve">Huỳnh Văn Bánh 51m2 5PN</t>
  </si>
  <si>
    <t xml:space="preserve">2026</t>
  </si>
  <si>
    <t xml:space="preserve">Phan Đình Phùng 50m2</t>
  </si>
  <si>
    <t xml:space="preserve">Not &gt;50m2, over budget</t>
  </si>
  <si>
    <t xml:space="preserve">Đất hẻm 137 Lê Văn Sỹ 63.9m2</t>
  </si>
  <si>
    <t xml:space="preserve">Land only, no house</t>
  </si>
  <si>
    <t xml:space="preserve">HXH CMT8 P7 giáp Q10 84m2 5PN</t>
  </si>
  <si>
    <t xml:space="preserve">Tân Bình</t>
  </si>
  <si>
    <t xml:space="preserve">Tân Sơn Nhất (P7)</t>
  </si>
  <si>
    <t xml:space="preserve">Shortlisted TB-1</t>
  </si>
  <si>
    <t xml:space="preserve">Hàng xóm cư xá Bắc Hải 51m2 3PN</t>
  </si>
  <si>
    <t xml:space="preserve">Tân Hòa (P6)</t>
  </si>
  <si>
    <t xml:space="preserve">Shortlisted TB-2</t>
  </si>
  <si>
    <t xml:space="preserve">Hàng xóm cư xá Bắc Hải (repost)</t>
  </si>
  <si>
    <t xml:space="preserve">Duplicate of TB-2</t>
  </si>
  <si>
    <t xml:space="preserve">CMT8 1014, 89.4m2 1 tầng 2PN</t>
  </si>
  <si>
    <t xml:space="preserve">Tân Sơn Nhất (P10)</t>
  </si>
  <si>
    <t xml:space="preserve">Only 2 PN (could rebuild)</t>
  </si>
  <si>
    <t xml:space="preserve">HXH 686/99a CMT8 60m2</t>
  </si>
  <si>
    <t xml:space="preserve">Tân Hòa (P5)</t>
  </si>
  <si>
    <t xml:space="preserve">Hẻm 5m CMT8 P5 64m2 4PN</t>
  </si>
  <si>
    <t xml:space="preserve">Tân Sơn Nhất (P5)</t>
  </si>
  <si>
    <t xml:space="preserve">HXH cư xá Tự Do 42m2</t>
  </si>
  <si>
    <t xml:space="preserve">Hẻm 766 CMT8 (ad says 60m2, actual 46m2)</t>
  </si>
  <si>
    <t xml:space="preserve">Tân Sơn Nhất</t>
  </si>
  <si>
    <t xml:space="preserve">&lt;50m2 - search title overstated area</t>
  </si>
  <si>
    <t xml:space="preserve">Hẻm Lê Hồng Phong, 50m ra MT, 63.7m2</t>
  </si>
  <si>
    <t xml:space="preserve">District 10</t>
  </si>
  <si>
    <t xml:space="preserve">Vườn Lài (P10)</t>
  </si>
  <si>
    <t xml:space="preserve">Shortlisted D10-1</t>
  </si>
  <si>
    <t xml:space="preserve">ID</t>
  </si>
  <si>
    <t xml:space="preserve">Address</t>
  </si>
  <si>
    <t xml:space="preserve">Ad link</t>
  </si>
  <si>
    <t xml:space="preserve">Floors</t>
  </si>
  <si>
    <t xml:space="preserve">Bed/WC</t>
  </si>
  <si>
    <t xml:space="preserve">Alley / car access</t>
  </si>
  <si>
    <t xml:space="preserve">Legal (title)</t>
  </si>
  <si>
    <t xml:space="preserve">Price (tỷ)</t>
  </si>
  <si>
    <t xml:space="preserve">tr VND/m2</t>
  </si>
  <si>
    <t xml:space="preserve">Market</t>
  </si>
  <si>
    <t xml:space="preserve">Supermarket</t>
  </si>
  <si>
    <t xml:space="preserve">Primary school</t>
  </si>
  <si>
    <t xml:space="preserve">Hospital</t>
  </si>
  <si>
    <t xml:space="preserve">Safety &amp; flooding</t>
  </si>
  <si>
    <t xml:space="preserve">Red flags</t>
  </si>
  <si>
    <t xml:space="preserve">Safety 1-5</t>
  </si>
  <si>
    <t xml:space="preserve">Livability 1-5</t>
  </si>
  <si>
    <t xml:space="preserve">Value 1-5</t>
  </si>
  <si>
    <t xml:space="preserve">Verification 1-5</t>
  </si>
  <si>
    <t xml:space="preserve">Total score</t>
  </si>
  <si>
    <t xml:space="preserve">Rank (all)</t>
  </si>
  <si>
    <t xml:space="preserve">Status</t>
  </si>
  <si>
    <t xml:space="preserve">Q3-E</t>
  </si>
  <si>
    <t xml:space="preserve">Hẻm 491 Lê Văn Sỹ, Nhiêu Lộc ward (old Quận 3, bordering Phú Nhuận)</t>
  </si>
  <si>
    <t xml:space="preserve">3 tầng BTCT + sân thượng</t>
  </si>
  <si>
    <t xml:space="preserve">5/4</t>
  </si>
  <si>
    <t xml:space="preserve">3 m through-alley; car road ~50 m</t>
  </si>
  <si>
    <t xml:space="preserve">Sổ hồng, hoàn công đầy đủ</t>
  </si>
  <si>
    <t xml:space="preserve">Chợ Nguyễn Văn Trỗi (209 Lê Văn Sỹ) ~0.5 km - lively 40-year market</t>
  </si>
  <si>
    <t xml:space="preserve">Co.opmart Nhiêu Lộc (974 Trường Sa) ~0.7 km</t>
  </si>
  <si>
    <t xml:space="preserve">Public primary in Nhiêu Lộc ward ~1 km (name to confirm)</t>
  </si>
  <si>
    <t xml:space="preserve">BV Quận 3 ~1 km; BV Phú Nhuận ~1.2 km</t>
  </si>
  <si>
    <t xml:space="preserve">Dense, central residential area; 3 m alley limits fire-truck access; no flood or planning issue found.</t>
  </si>
  <si>
    <t xml:space="preserve">Narrow 2.8 m frontage (widens to 3.6 m); 5 PN suggests past rental use; listed under Phú Nhuận but is in Quận 3; broker listing.</t>
  </si>
  <si>
    <t xml:space="preserve">MAIN PICK</t>
  </si>
  <si>
    <t xml:space="preserve">Q3-C</t>
  </si>
  <si>
    <t xml:space="preserve">Rạch Bùng Binh, ~30 m from the main road, Nhiêu Lộc (old P9)</t>
  </si>
  <si>
    <t xml:space="preserve">2 tầng</t>
  </si>
  <si>
    <t xml:space="preserve">3/2</t>
  </si>
  <si>
    <t xml:space="preserve">4 m alley; car access only claimed in some reposts</t>
  </si>
  <si>
    <t xml:space="preserve">Sổ hồng A4, hoàn công đầy đủ</t>
  </si>
  <si>
    <t xml:space="preserve">Chợ Vườn Chuối ~1.2 km - long-standing, famous food stalls</t>
  </si>
  <si>
    <t xml:space="preserve">Co.opmart Nhiêu Lộc ~1.5 km</t>
  </si>
  <si>
    <t xml:space="preserve">TH Kỳ Đồng ~0.5 km - well-known, in demand</t>
  </si>
  <si>
    <t xml:space="preserve">BV Quận 3 ~1 km; BV Bình Dân ~1.3 km</t>
  </si>
  <si>
    <t xml:space="preserve">Built-up alley with cameras; not on 2025 flood lists but low area near the canal - ask neighbours.</t>
  </si>
  <si>
    <t xml:space="preserve">0.1 tỷ over budget (~US$304k) - reposted by 3 brokers, one title says 'nhỉnh 7 tỷ': offer 7.3-7.5 tỷ.</t>
  </si>
  <si>
    <t xml:space="preserve">Alternative #2 (stretch)</t>
  </si>
  <si>
    <t xml:space="preserve">PN-2</t>
  </si>
  <si>
    <t xml:space="preserve">Trường Sa near Huỳnh Văn Bánh, Phú Nhuận (old P13) - across the canal from Quận 3</t>
  </si>
  <si>
    <t xml:space="preserve">Trệt + lửng + 1 lầu</t>
  </si>
  <si>
    <t xml:space="preserve">Ba-gác alley, 50 m from main road; car parks in yard but not down the alley</t>
  </si>
  <si>
    <t xml:space="preserve">Sổ hồng A4 vuông (hoàn công to confirm)</t>
  </si>
  <si>
    <t xml:space="preserve">Chợ Nguyễn Văn Trỗi ~0.8 km</t>
  </si>
  <si>
    <t xml:space="preserve">Co.opmart Nhiêu Lộc ~0.5-1 km</t>
  </si>
  <si>
    <t xml:space="preserve">Public primary (e.g. TH Nguyễn Đình Chính) ~0.8 km</t>
  </si>
  <si>
    <t xml:space="preserve">BV Phú Nhuận ~1.2 km; Hoàn Mỹ Sài Gòn ~2 km</t>
  </si>
  <si>
    <t xml:space="preserve">Quiet, secure alley per listing; canal-side street - check heavy-rain flooding.</t>
  </si>
  <si>
    <t xml:space="preserve">26% below Phú Nhuận average; mezzanine floor - check structure; seller type unclear.</t>
  </si>
  <si>
    <t xml:space="preserve">Alternative #1</t>
  </si>
  <si>
    <t xml:space="preserve">PN-1</t>
  </si>
  <si>
    <t xml:space="preserve">Hẻm xe hơi Đặng Văn Ngữ, Phú Nhuận (old P10)</t>
  </si>
  <si>
    <t xml:space="preserve">1 trệt 2 lầu</t>
  </si>
  <si>
    <t xml:space="preserve">4/4</t>
  </si>
  <si>
    <t xml:space="preserve">Car alley (width not stated)</t>
  </si>
  <si>
    <t xml:space="preserve">Sổ hồng riêng (hoàn công not mentioned)</t>
  </si>
  <si>
    <t xml:space="preserve">Chợ Trần Hữu Trang ~0.8 km - busy local market</t>
  </si>
  <si>
    <t xml:space="preserve">Bách Hóa Xanh &lt;0.5 km; Co.opmart Rạch Miễu ~2 km</t>
  </si>
  <si>
    <t xml:space="preserve">TH Phạm Ngọc Thạch ~0.5-1 km - Labor Order, city/national prizes</t>
  </si>
  <si>
    <t xml:space="preserve">Hoàn Mỹ Sài Gòn ~1.5 km; BV Phú Nhuận ~2 km</t>
  </si>
  <si>
    <t xml:space="preserve">Central, established area; ordinary petty theft; rush-hour traffic; ~12-15 min to Hồ Con Rùa.</t>
  </si>
  <si>
    <t xml:space="preserve">'Bán gấp' pressure; floor count inconsistent; furnished.</t>
  </si>
  <si>
    <t xml:space="preserve">Alternative #3</t>
  </si>
  <si>
    <t xml:space="preserve">D10-1</t>
  </si>
  <si>
    <t xml:space="preserve">Hẻm ~50 m off Lê Hồng Phong, Vườn Lài (old P10 Q10) - ~1 km from Quận 3 Bàn Cờ</t>
  </si>
  <si>
    <t xml:space="preserve">Trệt + lửng + 2 lầu</t>
  </si>
  <si>
    <t xml:space="preserve">3/3</t>
  </si>
  <si>
    <t xml:space="preserve">'Hẻm rộng' - width not stated</t>
  </si>
  <si>
    <t xml:space="preserve">Not stated</t>
  </si>
  <si>
    <t xml:space="preserve">Chợ Hồ Thị Kỷ ~0.8 km</t>
  </si>
  <si>
    <t xml:space="preserve">Bách Hóa Xanh ~0.3 km; Co.opXtra Vạn Hạnh Mall ~1.5 km</t>
  </si>
  <si>
    <t xml:space="preserve">TH Hồ Thị Kỷ ~0.8 km - top D10 public primary</t>
  </si>
  <si>
    <t xml:space="preserve">BV Nhi Đồng 1 ~1.2 km; Chợ Rẫy ~1.5 km</t>
  </si>
  <si>
    <t xml:space="preserve">Central, dense; no flood reports; peak congestion.</t>
  </si>
  <si>
    <t xml:space="preserve">~96 tr/m2 is 40-55% below D10 average and no title shown - verify first.</t>
  </si>
  <si>
    <t xml:space="preserve">Alternative #4</t>
  </si>
  <si>
    <t xml:space="preserve">TB-2</t>
  </si>
  <si>
    <t xml:space="preserve">Hẻm CMT8 beside Cư xá Bắc Hải, Tân Hòa (old P6 Tân Bình)</t>
  </si>
  <si>
    <t xml:space="preserve">3 tầng (~120 m2 use)</t>
  </si>
  <si>
    <t xml:space="preserve">3/4-5</t>
  </si>
  <si>
    <t xml:space="preserve">3 m alley, no car</t>
  </si>
  <si>
    <t xml:space="preserve">Sổ hồng riêng</t>
  </si>
  <si>
    <t xml:space="preserve">Chợ Phạm Văn Hai ~1.2 km - large, reputable</t>
  </si>
  <si>
    <t xml:space="preserve">GO! Miền Đông ~1.5 km</t>
  </si>
  <si>
    <t xml:space="preserve">Ask Tân Hòa ward for assigned school</t>
  </si>
  <si>
    <t xml:space="preserve">BV Thống Nhất ~1.5 km; BV Nhân dân 115 ~2 km</t>
  </si>
  <si>
    <t xml:space="preserve">Quiet long-term residents by Bắc Hải; CMT8 traffic and Metro 2 works to ~2030; ~15-25 min to central Q3.</t>
  </si>
  <si>
    <t xml:space="preserve">Two entrances/sections - check single plot &amp; hoàn công; reposted.</t>
  </si>
  <si>
    <t xml:space="preserve">Alternative #5</t>
  </si>
  <si>
    <t xml:space="preserve">TB-1</t>
  </si>
  <si>
    <t xml:space="preserve">Hẻm CMT8, Tân Sơn Nhất (old P7 Tân Bình), bordering District 10</t>
  </si>
  <si>
    <t xml:space="preserve">3-4 tầng</t>
  </si>
  <si>
    <t xml:space="preserve">5/3</t>
  </si>
  <si>
    <t xml:space="preserve">3.5 m road, car to door, parking yard</t>
  </si>
  <si>
    <t xml:space="preserve">Sổ hồng (hoàn công not mentioned)</t>
  </si>
  <si>
    <t xml:space="preserve">Chợ Ông Tạ ~1 km; Chợ Phạm Văn Hai ~1.5 km</t>
  </si>
  <si>
    <t xml:space="preserve">GO! Miền Đông ~2 km; Bách Hóa Xanh ~0.5 km</t>
  </si>
  <si>
    <t xml:space="preserve">Ask the ward for assigned school</t>
  </si>
  <si>
    <t xml:space="preserve">BV Thống Nhất ~1.5 km (major national); BV 115 ~2.5 km</t>
  </si>
  <si>
    <t xml:space="preserve">Established area; Bảy Hiền congestion + Metro 2 works to ~2030; no flood reports.</t>
  </si>
  <si>
    <t xml:space="preserve">~89 tr/m2 is 25-40% below CMT8 range; floor count 3 vs 4; broker.</t>
  </si>
  <si>
    <t xml:space="preserve">Alternative #6</t>
  </si>
  <si>
    <t xml:space="preserve">PN-3</t>
  </si>
  <si>
    <t xml:space="preserve">Trần Hữu Trang, Phú Nhuận</t>
  </si>
  <si>
    <t xml:space="preserve">Trệt + 2 lầu</t>
  </si>
  <si>
    <t xml:space="preserve">Motorbike-only through-alley (no car)</t>
  </si>
  <si>
    <t xml:space="preserve">Sổ hồng riêng chính chủ</t>
  </si>
  <si>
    <t xml:space="preserve">Chợ Trần Hữu Trang ~0.3 km</t>
  </si>
  <si>
    <t xml:space="preserve">Bách Hóa Xanh / WinMart+ &lt;0.5 km</t>
  </si>
  <si>
    <t xml:space="preserve">TH Nguyễn Đình Chính ~1 km - two sessions, 99.7% promotion</t>
  </si>
  <si>
    <t xml:space="preserve">Hoàn Mỹ Sài Gòn ~1 km</t>
  </si>
  <si>
    <t xml:space="preserve">Dense, central, safe; motorbike alley limits emergency access; ~10-12 min to Hồ Con Rùa.</t>
  </si>
  <si>
    <t xml:space="preserve">Stated 60 m2 vs 4.5x15.5 = 69.75 m2; URL says car alley but text says motorbike; near budget ceiling.</t>
  </si>
  <si>
    <t xml:space="preserve">Alternative #7</t>
  </si>
  <si>
    <t xml:space="preserve">Q3-A</t>
  </si>
  <si>
    <t xml:space="preserve">Nguyễn Thiện Thuật near Chợ Bàn Cờ, Bàn Cờ (old P3)</t>
  </si>
  <si>
    <t xml:space="preserve">4/3</t>
  </si>
  <si>
    <t xml:space="preserve">Width not stated; 'sân đỗ xe'</t>
  </si>
  <si>
    <t xml:space="preserve">Sổ hồng riêng, hoàn công (claimed)</t>
  </si>
  <si>
    <t xml:space="preserve">Chợ Bàn Cờ ~0.2 km - famous neighbourhood market</t>
  </si>
  <si>
    <t xml:space="preserve">Co.opmart Nguyễn Đình Chiểu ~1 km; Bách Hóa Xanh ~0.3 km</t>
  </si>
  <si>
    <t xml:space="preserve">TH Phan Đình Phùng ~0.4 km - top Q3 public primary</t>
  </si>
  <si>
    <t xml:space="preserve">BV Bình Dân ~0.7 km (major public surgical)</t>
  </si>
  <si>
    <t xml:space="preserve">Long-established, safe; very narrow motorbike alleys; no flood reports.</t>
  </si>
  <si>
    <t xml:space="preserve">~50% of Q3 average; 58 m2 vs 3.5x14.5 = 50.75 m2; no house number; bait-style wording.</t>
  </si>
  <si>
    <t xml:space="preserve">Alternative #8</t>
  </si>
  <si>
    <t xml:space="preserve">Q3-D</t>
  </si>
  <si>
    <t xml:space="preserve">Lê Văn Sỹ, 7 m asphalt alley, Nhiêu Lộc (old P13)</t>
  </si>
  <si>
    <t xml:space="preserve">Cấp 4 (1 floor)</t>
  </si>
  <si>
    <t xml:space="preserve">7 m alley (car likely)</t>
  </si>
  <si>
    <t xml:space="preserve">'Sổ hồng nở hậu' (no hoàn công)</t>
  </si>
  <si>
    <t xml:space="preserve">Chợ Nguyễn Văn Trỗi ~0.5 km</t>
  </si>
  <si>
    <t xml:space="preserve">Co.opmart Nhiêu Lộc ~0.7 km</t>
  </si>
  <si>
    <t xml:space="preserve">TH Nguyễn Sơn Hà ~1 km (rebuilt 2020)</t>
  </si>
  <si>
    <t xml:space="preserve">BV Quận 3 ~0.8 km; BV Phú Nhuận ~1.5 km</t>
  </si>
  <si>
    <t xml:space="preserve">Busy central area; Lê Văn Sỹ peak traffic; planning status unknown.</t>
  </si>
  <si>
    <t xml:space="preserve">0.3 tỷ over budget; ~73 tr/m2 is a third of Q3 average; 'chính chủ' but broker with 12 ads - check planning, shared title.</t>
  </si>
  <si>
    <t xml:space="preserve">Alternative #9 (stretch)</t>
  </si>
  <si>
    <t xml:space="preserve">PN-5</t>
  </si>
  <si>
    <t xml:space="preserve">Hẻm Nguyễn Kiệm, Đức Nhuận ward</t>
  </si>
  <si>
    <t xml:space="preserve">5/?</t>
  </si>
  <si>
    <t xml:space="preserve">2 m alley, no car</t>
  </si>
  <si>
    <t xml:space="preserve">Sổ hồng (claimed)</t>
  </si>
  <si>
    <t xml:space="preserve">Local market ~1.5 km</t>
  </si>
  <si>
    <t xml:space="preserve">Co.opmart Nguyễn Kiệm ~1-1.5 km</t>
  </si>
  <si>
    <t xml:space="preserve">TH Hồ Văn Huê ~1 km - national standard</t>
  </si>
  <si>
    <t xml:space="preserve">BV Quân y 175 ~2 km</t>
  </si>
  <si>
    <t xml:space="preserve">Nguyễn Kiệm floods and jams (7 Oct 2026); 15-20 min to Hồ Con Rùa.</t>
  </si>
  <si>
    <t xml:space="preserve">40% below area average; rooming layout; broker; 2 m alley.</t>
  </si>
  <si>
    <t xml:space="preserve">Alternative #10</t>
  </si>
  <si>
    <t xml:space="preserve">Q3-B</t>
  </si>
  <si>
    <t xml:space="preserve">Hẻm 62 Lý Chính Thắng, Xuân Hòa (old P8)</t>
  </si>
  <si>
    <t xml:space="preserve">4/2</t>
  </si>
  <si>
    <t xml:space="preserve">Alley ~5 m, motorbike only</t>
  </si>
  <si>
    <t xml:space="preserve">'Sổ công nhận 60m2' - no hoàn công</t>
  </si>
  <si>
    <t xml:space="preserve">Chợ Tân Định ~1.5 km</t>
  </si>
  <si>
    <t xml:space="preserve">Co.opmart Nguyễn Đình Chiểu ~1.2 km</t>
  </si>
  <si>
    <t xml:space="preserve">TH Nguyễn Thái Sơn ~0.5 km</t>
  </si>
  <si>
    <t xml:space="preserve">BV Bình Dân ~1.3 km; Từ Dũ ~2 km</t>
  </si>
  <si>
    <t xml:space="preserve">Quiet, central, well-off area.</t>
  </si>
  <si>
    <t xml:space="preserve">82 tr/m2 while a 31 m2 house in the same alley asks 7 tỷ (227 tr/m2) - implausible; likely shared title or bait.</t>
  </si>
  <si>
    <t xml:space="preserve">Avoid</t>
  </si>
  <si>
    <t xml:space="preserve">Green = main pick; orange = avoid. 'Stretch' = slightly over budget but worth negotiating. Blue cells are inputs you can change. Distances are estimates.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</si>
</sst>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"/>
    <numFmt numFmtId="167" formatCode="0.00"/>
    <numFmt numFmtId="168" formatCode="0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batdongsan.com.vn/" TargetMode="External"/><Relationship Id="rId2" Type="http://schemas.openxmlformats.org/officeDocument/2006/relationships/hyperlink" Target="https://www.nhatot.com/" TargetMode="External"/><Relationship Id="rId3" Type="http://schemas.openxmlformats.org/officeDocument/2006/relationships/hyperlink" Target="https://muaban.net/bat-dong-san" TargetMode="External"/><Relationship Id="rId4" Type="http://schemas.openxmlformats.org/officeDocument/2006/relationships/hyperlink" Target="https://bds68.com.vn/" TargetMode="External"/><Relationship Id="rId5" Type="http://schemas.openxmlformats.org/officeDocument/2006/relationships/hyperlink" Target="https://alonhadat.com.vn/" TargetMode="External"/><Relationship Id="rId6" Type="http://schemas.openxmlformats.org/officeDocument/2006/relationships/hyperlink" Target="https://dinhgianha.vn/" TargetMode="External"/><Relationship Id="rId7" Type="http://schemas.openxmlformats.org/officeDocument/2006/relationships/hyperlink" Target="https://mogi.vn/" TargetMode="External"/><Relationship Id="rId8" Type="http://schemas.openxmlformats.org/officeDocument/2006/relationships/hyperlink" Target="https://homedy.com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bds68.com.vn/ban-nha-rieng/ho-chi-minh/quan-3/duong-truong-dinh/ra-nhanh-nha-truong-dinh--v-thi-sau--q3-gan-cv-tao-dangia-9ty500tr68m2cho-thue-19trthang-pr31337651" TargetMode="External"/><Relationship Id="rId2" Type="http://schemas.openxmlformats.org/officeDocument/2006/relationships/hyperlink" Target="https://bds68.com.vn/ban-nha-rieng/ho-chi-minh/quan-3/duong-nguyen-dinh-chieu/ban-nha-hxh-nguyen-dinh-chieu-quan-3--dien-tich-33x10m--3-tang-moi--83-ty-pr31200146" TargetMode="External"/><Relationship Id="rId3" Type="http://schemas.openxmlformats.org/officeDocument/2006/relationships/hyperlink" Target="https://bds68.com.vn/ban-nha-rieng/ho-chi-minh/quan-3/duong-ly-chinh-thang/nha-4-tang-hem-4m-ly-chinh-thang-q3-gia-72-ty-tl-pr31250902" TargetMode="External"/><Relationship Id="rId4" Type="http://schemas.openxmlformats.org/officeDocument/2006/relationships/hyperlink" Target="https://bds68.com.vn/ban-nha-rieng/ho-chi-minh/quan-3/duong-nguyen-dinh-chieu/ban-nha-rieng-tai-2632-nguyen-dinh-chieu-71-ty-27m2-3pn--2wc-pr30911264" TargetMode="External"/><Relationship Id="rId5" Type="http://schemas.openxmlformats.org/officeDocument/2006/relationships/hyperlink" Target="https://bds68.com.vn/ban-nha-rieng/ho-chi-minh/quan-3/duong-ly-chinh-thang/hem-4m-134-ly-chinh-thang-quan-3--506m-41-x-129m--81-ty--chinh-chu-pr31327638" TargetMode="External"/><Relationship Id="rId6" Type="http://schemas.openxmlformats.org/officeDocument/2006/relationships/hyperlink" Target="https://bds68.com.vn/ban-nha-rieng/ho-chi-minh/quan-3/duong-cach-mang-thang-tam/ban-nha-duong-cach-mang-thang-8-q3hxh-sat-mat-tien-ben-tuyen-metro--48m2--2tang-btct-gia-86-ty-pr30257467" TargetMode="External"/><Relationship Id="rId7" Type="http://schemas.openxmlformats.org/officeDocument/2006/relationships/hyperlink" Target="https://bds68.com.vn/ban-nha-rieng/ho-chi-minh/quan-3/duong-nguyen-phuc-nguyen/giam-2-ty--ban-gp-nha-68m-quan-3-hxh-nguyen-phuc-nguyen-chi-10-ty-pr31324758" TargetMode="External"/><Relationship Id="rId8" Type="http://schemas.openxmlformats.org/officeDocument/2006/relationships/hyperlink" Target="https://bds68.com.vn/ban-nha-rieng/ho-chi-minh/quan-3/duong-le-van-sy/ban-nha-quan-3-hem-nhua-7m-110m2-no-hau-42m-kd-dinh-chinh-chu-le-van-sy-gap-ban-pr29618333" TargetMode="External"/><Relationship Id="rId9" Type="http://schemas.openxmlformats.org/officeDocument/2006/relationships/hyperlink" Target="https://bds68.com.vn/ban-nha-rieng/ho-chi-minh/quan-3/duong-nguyen-dinh-chieu/nha-36225-nguyen-dinh-chieu-q3-3x9m-4-tang-3pn--2wc-gia-78-ty-chinh-chu-0768-752--pr31189170" TargetMode="External"/><Relationship Id="rId10" Type="http://schemas.openxmlformats.org/officeDocument/2006/relationships/hyperlink" Target="https://bds68.com.vn/ban-nha-rieng/ho-chi-minh/quan-3/duong-rach-bung-binh/hem-4m-gan-mat-tien--nha-2-tang-co-3pn--thich-hop-cho-ho-gd-cho-thue--515m--chi-78-ty-pr30466218" TargetMode="External"/><Relationship Id="rId11" Type="http://schemas.openxmlformats.org/officeDocument/2006/relationships/hyperlink" Target="https://bds68.com.vn/ban-nha-rieng/ho-chi-minh/quan-3/duong-tran-quang-dieu/tran-quang-dieu4m14m-cach-mt-20m-gia-83-ty-pr31279449" TargetMode="External"/><Relationship Id="rId12" Type="http://schemas.openxmlformats.org/officeDocument/2006/relationships/hyperlink" Target="https://bds68.com.vn/ban-nha-rieng/ho-chi-minh/quan-3/duong-vuon-chuoi/ban-nha-hem-xe-hoi-vuon-chuoi-p4-quan-3-dt-31-x-11-34m2-5-tang-gia-83-ty-thuong-luong-pr31273408" TargetMode="External"/><Relationship Id="rId13" Type="http://schemas.openxmlformats.org/officeDocument/2006/relationships/hyperlink" Target="https://muaban.net/bat-dong-san/ban-nha-hem-ngo-quan-3-ho-chi-minh/nha-3-tang-58m2-no-hau-4m-nguyen-thien-thuat-cho-ban-co-gia-6-8-ty-id71310269" TargetMode="External"/><Relationship Id="rId14" Type="http://schemas.openxmlformats.org/officeDocument/2006/relationships/hyperlink" Target="https://muaban.net/bat-dong-san/ban-nha-hem-ngo-quan-3-ho-chi-minh/ban-nha-hem-62-ly-chinh-thang-nha-2-tang-cong-nhan-60m2-gia-4-9-ty-id71242645" TargetMode="External"/><Relationship Id="rId15" Type="http://schemas.openxmlformats.org/officeDocument/2006/relationships/hyperlink" Target="https://muaban.net/bat-dong-san/ban-nha-hem-ngo-quan-3-ho-chi-minh/ban-nhanh-nha-hem-62-ly-chinh-thang-p-vts-quan-3-3-1m-x-8-7m-3lau-id71270674" TargetMode="External"/><Relationship Id="rId16" Type="http://schemas.openxmlformats.org/officeDocument/2006/relationships/hyperlink" Target="https://muaban.net/bat-dong-san/ban-nha-hem-ngo-quan-3-ho-chi-minh/giam-2-ty-ban-gap-nha-hxh-451-hai-ba-trung-60m2-4-lau-gia-10-5-ty-id71270113" TargetMode="External"/><Relationship Id="rId17" Type="http://schemas.openxmlformats.org/officeDocument/2006/relationships/hyperlink" Target="https://muaban.net/bat-dong-san/ban-nha-hem-ngo-quan-3-ho-chi-minh/hem-4m-xe-hoi-le-van-sy-quan-3-53m2-3-5x15m-3-tang-2pn-gan-mat-tien-id71286308" TargetMode="External"/><Relationship Id="rId18" Type="http://schemas.openxmlformats.org/officeDocument/2006/relationships/hyperlink" Target="https://muaban.net/bat-dong-san/ban-nha-hem-ngo-quan-3-ho-chi-minh/chinh-chu-ban-nha-457-9-dien-bien-phu-p-3-q3-nha-2-mat-tien-hem-id71287166" TargetMode="External"/><Relationship Id="rId19" Type="http://schemas.openxmlformats.org/officeDocument/2006/relationships/hyperlink" Target="https://muaban.net/bat-dong-san/ban-nha-hem-ngo-quan-3-ho-chi-minh/nha-4-tang-phuong-ban-co-hxh-cx-do-thanh-cho-vuon-chuoi-gia-6-5-ty-id71269501" TargetMode="External"/><Relationship Id="rId20" Type="http://schemas.openxmlformats.org/officeDocument/2006/relationships/hyperlink" Target="https://muaban.net/bat-dong-san/ban-nha-hem-ngo-quan-3-ho-chi-minh/nha-pho-2-tang-phuong-ban-co-sat-hxh-dien-bien-phu-29m2-chi-6-ty-id71269068" TargetMode="External"/><Relationship Id="rId21" Type="http://schemas.openxmlformats.org/officeDocument/2006/relationships/hyperlink" Target="https://muaban.net/bat-dong-san/ban-nha-hem-ngo-quan-3-ho-chi-minh/chinh-chu-ban-nha-mt-hem-10m-oto-thong-2-chieu-ba-huyen-thanh-qu-id70784903" TargetMode="External"/><Relationship Id="rId22" Type="http://schemas.openxmlformats.org/officeDocument/2006/relationships/hyperlink" Target="https://muaban.net/bat-dong-san/ban-nha-hem-ngo-quan-3-ho-chi-minh/giam-2-ty-can-ban-nha-duong-cao-thang-45-4m2-2-tang-gia-170-trieu-m2-id71313817" TargetMode="External"/><Relationship Id="rId23" Type="http://schemas.openxmlformats.org/officeDocument/2006/relationships/hyperlink" Target="https://muaban.net/bat-dong-san/ban-nha-hem-ngo-quan-3-ho-chi-minh/ban-nha-hem-443-le-van-sy-phuong-12-quan-3-can-goc-2-mat-tien-id70357044" TargetMode="External"/><Relationship Id="rId24" Type="http://schemas.openxmlformats.org/officeDocument/2006/relationships/hyperlink" Target="https://alonhadat.com.vn/ban-nha-hem-o-to-rach-bung-binh-q3-52m2-3pn-gieng-troi-thoang-cach-mt-30m-7-8-ty-19045305.html" TargetMode="External"/><Relationship Id="rId25" Type="http://schemas.openxmlformats.org/officeDocument/2006/relationships/hyperlink" Target="https://alonhadat.com.vn/nha-trung-tam-tp-hcm-quan-3-vi-tri-dau-tu-ly-tuong-hem-thong-thoang-51m2-gia-8-69-ty-18886955.html" TargetMode="External"/><Relationship Id="rId26" Type="http://schemas.openxmlformats.org/officeDocument/2006/relationships/hyperlink" Target="https://alonhadat.com.vn/quan-3-hxh-84m2-ngang-6m-13-5ty-tl-19127962.html" TargetMode="External"/><Relationship Id="rId27" Type="http://schemas.openxmlformats.org/officeDocument/2006/relationships/hyperlink" Target="https://muaban.net/bat-dong-san/ban-nha-hem-ngo-quan-phu-nhuan-ho-chi-minh/ban-gap-hem-xe-hoi-6-ty-890-d-dang-van-ngu-phu-nhuan-dt-54-m2-id71191892" TargetMode="External"/><Relationship Id="rId28" Type="http://schemas.openxmlformats.org/officeDocument/2006/relationships/hyperlink" Target="https://muaban.net/bat-dong-san/ban-nha-hem-ngo-quan-phu-nhuan-ho-chi-minh/ban-nha-duong-truong-sa-phu-nhuan-hon-60m2-gia-chi-6-95-ty-id71292460" TargetMode="External"/><Relationship Id="rId29" Type="http://schemas.openxmlformats.org/officeDocument/2006/relationships/hyperlink" Target="https://dinhgianha.vn/ban-nha/phu-nhuan/ban-nha-hem-xe-hoi-tran-huu-trang-phu-nhuan" TargetMode="External"/><Relationship Id="rId30" Type="http://schemas.openxmlformats.org/officeDocument/2006/relationships/hyperlink" Target="https://dinhgianha.vn/ban-nha/phu-nhuan/ban-nha-hem-491-le-van-sy-phu-nhuan" TargetMode="External"/><Relationship Id="rId31" Type="http://schemas.openxmlformats.org/officeDocument/2006/relationships/hyperlink" Target="https://dinhgianha.vn/ban-nha/phu-nhuan/ban-nha-hem-nguyen-kiem-phu-nhuan-70-m-43m-x-16m-5-phong-ngu" TargetMode="External"/><Relationship Id="rId32" Type="http://schemas.openxmlformats.org/officeDocument/2006/relationships/hyperlink" Target="https://dinhgianha.vn/ban-nha/phu-nhuan/ban-nha-huynh-van-banh-phu-nhuan-51-m-32m-x-13m-5-phong-ngu" TargetMode="External"/><Relationship Id="rId33" Type="http://schemas.openxmlformats.org/officeDocument/2006/relationships/hyperlink" Target="https://dinhgianha.vn/ban-nha/phu-nhuan/ban-nha-phan-dinh-phung-phu-nhuan-50-m-34m-x-147m-3-tang-btct" TargetMode="External"/><Relationship Id="rId34" Type="http://schemas.openxmlformats.org/officeDocument/2006/relationships/hyperlink" Target="https://dinhgianha.vn/ban-nha/phu-nhuan/ban-nha-hem-137-le-van-sy-phu-nhuan" TargetMode="External"/><Relationship Id="rId35" Type="http://schemas.openxmlformats.org/officeDocument/2006/relationships/hyperlink" Target="https://bds68.com.vn/ban-nha-rieng/ho-chi-minh/tan-binh/duong-cach-mang-thang-tam/giua-trung-tam-giap-10-84m-4-tang-hem-xe-hoi-cmt8-gan-metro-chi-745-ty-pr31333674" TargetMode="External"/><Relationship Id="rId36" Type="http://schemas.openxmlformats.org/officeDocument/2006/relationships/hyperlink" Target="https://bds68.com.vn/ban-nha-rieng/ho-chi-minh/tan-binh/duong-cach-mang-thang-tam/ban-nha-hang-xom-cu-xa-bac-hai--3pn--5wc--3-tang6m-ngang--gia-nhinh-6-ty-thuong-luong-tot-pr30720009" TargetMode="External"/><Relationship Id="rId37" Type="http://schemas.openxmlformats.org/officeDocument/2006/relationships/hyperlink" Target="https://bds68.com.vn/ban-nha-rieng/ho-chi-minh/tan-binh/duong-cach-mang-thang-tam/nha-cmt8--hang-xom-cu-xa-bac-hai--3pn-3-tang-dtsd-120m2-hon-6-ty-tl-manh-pr31118398" TargetMode="External"/><Relationship Id="rId38" Type="http://schemas.openxmlformats.org/officeDocument/2006/relationships/hyperlink" Target="https://bds68.com.vn/ban-nha-rieng/ho-chi-minh/tan-binh/duong-cach-mang-thang-tam/169-cmt81014-nhinh-728-ty-so-huu-nha-1-tang-tren-894-m2-tan-binh-gan-cmt8-ut-tich-le-binh-pr31330853" TargetMode="External"/><Relationship Id="rId39" Type="http://schemas.openxmlformats.org/officeDocument/2006/relationships/hyperlink" Target="https://bds68.com.vn/ban-nha-rieng/ho-chi-minh/tan-binh/duong-cach-mang-thang-tam/chi-92-ty-hem-xe-hoi-68699a-cmt-8-dt-4x138m-2-lau-doi-dien-cong-vien-le-thi-rieng-pr31299538" TargetMode="External"/><Relationship Id="rId40" Type="http://schemas.openxmlformats.org/officeDocument/2006/relationships/hyperlink" Target="https://bds68.com.vn/ban-nha-rieng/ho-chi-minh/tan-binh/duong-cach-mang-thang-tam/hem-5m-thong-gan-mat-tien-cach-mang-thang-8-phuong-5-tan-binh-64m2-3-tang-4pn-chi-12-ty-pr29777252" TargetMode="External"/><Relationship Id="rId41" Type="http://schemas.openxmlformats.org/officeDocument/2006/relationships/hyperlink" Target="https://bds68.com.vn/ban-nha-rieng/ho-chi-minh/tan-binh/duong-cach-mang-thang-tam/hem-xe-hoi-thong-khu-vip-cu-xa-tu-do--42m2-no-hau-x-3-tang-gan-mat-tien-cmt8-bay-hien--77-ty-pr31040936" TargetMode="External"/><Relationship Id="rId42" Type="http://schemas.openxmlformats.org/officeDocument/2006/relationships/hyperlink" Target="https://dinhgianha.vn/ban-nha/tan-binh/ban-nha-hem-766-cach-mang-thang-tam-tan-binh" TargetMode="External"/><Relationship Id="rId43" Type="http://schemas.openxmlformats.org/officeDocument/2006/relationships/hyperlink" Target="https://muaban.net/bat-dong-san/ban-nha-hem-ngo-quan-10-ho-chi-minh/cach-mat-tien-le-hong-phong-quan-10-chi-50m-63-7m2-gia-ban-6ty150-id71287720" TargetMode="External"/><Relationship Id="rId44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dinhgianha.vn/ban-nha/phu-nhuan/ban-nha-hem-491-le-van-sy-phu-nhuan" TargetMode="External"/><Relationship Id="rId3" Type="http://schemas.openxmlformats.org/officeDocument/2006/relationships/hyperlink" Target="https://bds68.com.vn/ban-nha-rieng/ho-chi-minh/quan-3/duong-rach-bung-binh/hem-4m-gan-mat-tien--nha-2-tang-co-3pn--thich-hop-cho-ho-gd-cho-thue--515m--chi-78-ty-pr30466218" TargetMode="External"/><Relationship Id="rId4" Type="http://schemas.openxmlformats.org/officeDocument/2006/relationships/hyperlink" Target="https://muaban.net/bat-dong-san/ban-nha-hem-ngo-quan-phu-nhuan-ho-chi-minh/ban-nha-duong-truong-sa-phu-nhuan-hon-60m2-gia-chi-6-95-ty-id71292460" TargetMode="External"/><Relationship Id="rId5" Type="http://schemas.openxmlformats.org/officeDocument/2006/relationships/hyperlink" Target="https://muaban.net/bat-dong-san/ban-nha-hem-ngo-quan-phu-nhuan-ho-chi-minh/ban-gap-hem-xe-hoi-6-ty-890-d-dang-van-ngu-phu-nhuan-dt-54-m2-id71191892" TargetMode="External"/><Relationship Id="rId6" Type="http://schemas.openxmlformats.org/officeDocument/2006/relationships/hyperlink" Target="https://muaban.net/bat-dong-san/ban-nha-hem-ngo-quan-10-ho-chi-minh/cach-mat-tien-le-hong-phong-quan-10-chi-50m-63-7m2-gia-ban-6ty150-id71287720" TargetMode="External"/><Relationship Id="rId7" Type="http://schemas.openxmlformats.org/officeDocument/2006/relationships/hyperlink" Target="https://bds68.com.vn/ban-nha-rieng/ho-chi-minh/tan-binh/duong-cach-mang-thang-tam/ban-nha-hang-xom-cu-xa-bac-hai--3pn--5wc--3-tang6m-ngang--gia-nhinh-6-ty-thuong-luong-tot-pr30720009" TargetMode="External"/><Relationship Id="rId8" Type="http://schemas.openxmlformats.org/officeDocument/2006/relationships/hyperlink" Target="https://bds68.com.vn/ban-nha-rieng/ho-chi-minh/tan-binh/duong-cach-mang-thang-tam/giua-trung-tam-giap-10-84m-4-tang-hem-xe-hoi-cmt8-gan-metro-chi-745-ty-pr31333674" TargetMode="External"/><Relationship Id="rId9" Type="http://schemas.openxmlformats.org/officeDocument/2006/relationships/hyperlink" Target="https://dinhgianha.vn/ban-nha/phu-nhuan/ban-nha-hem-xe-hoi-tran-huu-trang-phu-nhuan" TargetMode="External"/><Relationship Id="rId10" Type="http://schemas.openxmlformats.org/officeDocument/2006/relationships/hyperlink" Target="https://muaban.net/bat-dong-san/ban-nha-hem-ngo-quan-3-ho-chi-minh/nha-3-tang-58m2-no-hau-4m-nguyen-thien-thuat-cho-ban-co-gia-6-8-ty-id71310269" TargetMode="External"/><Relationship Id="rId11" Type="http://schemas.openxmlformats.org/officeDocument/2006/relationships/hyperlink" Target="https://bds68.com.vn/ban-nha-rieng/ho-chi-minh/quan-3/duong-le-van-sy/ban-nha-quan-3-hem-nhua-7m-110m2-no-hau-42m-kd-dinh-chinh-chu-le-van-sy-gap-ban-pr29618333" TargetMode="External"/><Relationship Id="rId12" Type="http://schemas.openxmlformats.org/officeDocument/2006/relationships/hyperlink" Target="https://dinhgianha.vn/ban-nha/phu-nhuan/ban-nha-hem-nguyen-kiem-phu-nhuan-70-m-43m-x-16m-5-phong-ngu" TargetMode="External"/><Relationship Id="rId13" Type="http://schemas.openxmlformats.org/officeDocument/2006/relationships/hyperlink" Target="https://muaban.net/bat-dong-san/ban-nha-hem-ngo-quan-3-ho-chi-minh/ban-nha-hem-62-ly-chinh-thang-nha-2-tang-cong-nhan-60m2-gia-4-9-ty-id71242645" TargetMode="External"/><Relationship Id="rId14" Type="http://schemas.openxmlformats.org/officeDocument/2006/relationships/drawing" Target="../drawings/drawing2.xml"/><Relationship Id="rId15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/>
      <c r="B3" s="2"/>
    </row>
    <row r="4" customFormat="false" ht="15" hidden="false" customHeight="false" outlineLevel="0" collapsed="false">
      <c r="A4" s="3" t="s">
        <v>3</v>
      </c>
      <c r="B4" s="4" t="n">
        <v>25660</v>
      </c>
    </row>
    <row r="5" customFormat="false" ht="15" hidden="false" customHeight="false" outlineLevel="0" collapsed="false">
      <c r="A5" s="3" t="s">
        <v>4</v>
      </c>
      <c r="B5" s="5" t="n">
        <v>300000</v>
      </c>
    </row>
    <row r="6" customFormat="false" ht="15" hidden="false" customHeight="false" outlineLevel="0" collapsed="false">
      <c r="A6" s="3" t="s">
        <v>5</v>
      </c>
      <c r="B6" s="6" t="n">
        <f aca="false">B5*B4/1000000000</f>
        <v>7.698</v>
      </c>
    </row>
    <row r="7" customFormat="false" ht="15" hidden="false" customHeight="false" outlineLevel="0" collapsed="false">
      <c r="A7" s="3" t="s">
        <v>6</v>
      </c>
      <c r="B7" s="7" t="n">
        <v>50</v>
      </c>
    </row>
    <row r="8" customFormat="false" ht="15" hidden="false" customHeight="false" outlineLevel="0" collapsed="false">
      <c r="A8" s="3"/>
      <c r="B8" s="2"/>
    </row>
    <row r="9" customFormat="false" ht="15" hidden="false" customHeight="false" outlineLevel="0" collapsed="false">
      <c r="A9" s="3" t="s">
        <v>7</v>
      </c>
      <c r="B9" s="2" t="s">
        <v>8</v>
      </c>
    </row>
    <row r="10" customFormat="false" ht="39.55" hidden="false" customHeight="false" outlineLevel="0" collapsed="false">
      <c r="A10" s="3" t="s">
        <v>9</v>
      </c>
      <c r="B10" s="2" t="s">
        <v>10</v>
      </c>
    </row>
    <row r="11" customFormat="false" ht="26.85" hidden="false" customHeight="false" outlineLevel="0" collapsed="false">
      <c r="A11" s="3" t="s">
        <v>11</v>
      </c>
      <c r="B11" s="2" t="s">
        <v>12</v>
      </c>
    </row>
    <row r="12" customFormat="false" ht="26.85" hidden="false" customHeight="false" outlineLevel="0" collapsed="false">
      <c r="A12" s="3" t="s">
        <v>13</v>
      </c>
      <c r="B12" s="2" t="s">
        <v>14</v>
      </c>
    </row>
    <row r="13" customFormat="false" ht="39.55" hidden="false" customHeight="false" outlineLevel="0" collapsed="false">
      <c r="A13" s="3" t="s">
        <v>15</v>
      </c>
      <c r="B13" s="2" t="s">
        <v>16</v>
      </c>
    </row>
    <row r="14" customFormat="false" ht="39.55" hidden="false" customHeight="false" outlineLevel="0" collapsed="false">
      <c r="A14" s="3" t="s">
        <v>17</v>
      </c>
      <c r="B14" s="2" t="s">
        <v>18</v>
      </c>
    </row>
    <row r="15" customFormat="false" ht="15" hidden="false" customHeight="false" outlineLevel="0" collapsed="false">
      <c r="A15" s="3" t="s">
        <v>19</v>
      </c>
      <c r="B1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8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21</v>
      </c>
      <c r="B1" s="8" t="s">
        <v>22</v>
      </c>
      <c r="C1" s="8" t="s">
        <v>23</v>
      </c>
    </row>
    <row r="2" customFormat="false" ht="15" hidden="false" customHeight="false" outlineLevel="0" collapsed="false">
      <c r="A2" s="9" t="s">
        <v>24</v>
      </c>
      <c r="B2" s="10" t="s">
        <v>25</v>
      </c>
      <c r="C2" s="11" t="s">
        <v>26</v>
      </c>
    </row>
    <row r="3" customFormat="false" ht="15" hidden="false" customHeight="false" outlineLevel="0" collapsed="false">
      <c r="A3" s="9" t="s">
        <v>27</v>
      </c>
      <c r="B3" s="10" t="s">
        <v>28</v>
      </c>
      <c r="C3" s="11" t="s">
        <v>29</v>
      </c>
    </row>
    <row r="4" customFormat="false" ht="15" hidden="false" customHeight="false" outlineLevel="0" collapsed="false">
      <c r="A4" s="9" t="s">
        <v>30</v>
      </c>
      <c r="B4" s="10" t="s">
        <v>31</v>
      </c>
      <c r="C4" s="11" t="s">
        <v>32</v>
      </c>
    </row>
    <row r="5" customFormat="false" ht="15" hidden="false" customHeight="false" outlineLevel="0" collapsed="false">
      <c r="A5" s="9" t="s">
        <v>33</v>
      </c>
      <c r="B5" s="10" t="s">
        <v>34</v>
      </c>
      <c r="C5" s="11" t="s">
        <v>35</v>
      </c>
    </row>
    <row r="6" customFormat="false" ht="15" hidden="false" customHeight="false" outlineLevel="0" collapsed="false">
      <c r="A6" s="9" t="s">
        <v>36</v>
      </c>
      <c r="B6" s="10" t="s">
        <v>37</v>
      </c>
      <c r="C6" s="11" t="s">
        <v>38</v>
      </c>
    </row>
    <row r="7" customFormat="false" ht="15" hidden="false" customHeight="false" outlineLevel="0" collapsed="false">
      <c r="A7" s="9" t="s">
        <v>39</v>
      </c>
      <c r="B7" s="10" t="s">
        <v>40</v>
      </c>
      <c r="C7" s="11" t="s">
        <v>41</v>
      </c>
    </row>
    <row r="8" customFormat="false" ht="15" hidden="false" customHeight="false" outlineLevel="0" collapsed="false">
      <c r="A8" s="9" t="s">
        <v>42</v>
      </c>
      <c r="B8" s="10" t="s">
        <v>43</v>
      </c>
      <c r="C8" s="11" t="s">
        <v>44</v>
      </c>
    </row>
    <row r="9" customFormat="false" ht="15" hidden="false" customHeight="false" outlineLevel="0" collapsed="false">
      <c r="A9" s="9" t="s">
        <v>45</v>
      </c>
      <c r="B9" s="10" t="s">
        <v>46</v>
      </c>
      <c r="C9" s="11" t="s">
        <v>47</v>
      </c>
    </row>
  </sheetData>
  <hyperlinks>
    <hyperlink ref="B2" r:id="rId1" display="https://batdongsan.com.vn"/>
    <hyperlink ref="B3" r:id="rId2" display="https://www.nhatot.com"/>
    <hyperlink ref="B4" r:id="rId3" display="https://muaban.net/bat-dong-san"/>
    <hyperlink ref="B5" r:id="rId4" display="https://bds68.com.vn"/>
    <hyperlink ref="B6" r:id="rId5" display="https://alonhadat.com.vn"/>
    <hyperlink ref="B7" r:id="rId6" display="https://dinhgianha.vn"/>
    <hyperlink ref="B8" r:id="rId7" display="https://mogi.vn"/>
    <hyperlink ref="B9" r:id="rId8" display="https://homedy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9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42"/>
  </cols>
  <sheetData>
    <row r="1" customFormat="false" ht="39.55" hidden="false" customHeight="false" outlineLevel="0" collapsed="false">
      <c r="A1" s="8" t="s">
        <v>48</v>
      </c>
      <c r="B1" s="8" t="s">
        <v>49</v>
      </c>
      <c r="C1" s="8" t="s">
        <v>50</v>
      </c>
      <c r="D1" s="8" t="s">
        <v>51</v>
      </c>
      <c r="E1" s="8" t="s">
        <v>52</v>
      </c>
      <c r="F1" s="8" t="s">
        <v>53</v>
      </c>
      <c r="G1" s="8" t="s">
        <v>54</v>
      </c>
      <c r="H1" s="8" t="s">
        <v>55</v>
      </c>
      <c r="I1" s="8" t="s">
        <v>56</v>
      </c>
      <c r="J1" s="8" t="s">
        <v>57</v>
      </c>
      <c r="K1" s="8" t="s">
        <v>58</v>
      </c>
      <c r="L1" s="8" t="s">
        <v>59</v>
      </c>
      <c r="M1" s="8" t="s">
        <v>60</v>
      </c>
      <c r="N1" s="8" t="s">
        <v>61</v>
      </c>
    </row>
    <row r="2" customFormat="false" ht="26.85" hidden="false" customHeight="false" outlineLevel="0" collapsed="false">
      <c r="A2" s="11" t="n">
        <v>1</v>
      </c>
      <c r="B2" s="11" t="s">
        <v>62</v>
      </c>
      <c r="C2" s="11" t="s">
        <v>63</v>
      </c>
      <c r="D2" s="10" t="s">
        <v>64</v>
      </c>
      <c r="E2" s="11" t="s">
        <v>65</v>
      </c>
      <c r="F2" s="11" t="s">
        <v>66</v>
      </c>
      <c r="G2" s="11" t="n">
        <v>68</v>
      </c>
      <c r="H2" s="12" t="n">
        <v>9.5</v>
      </c>
      <c r="I2" s="11" t="s">
        <v>67</v>
      </c>
      <c r="J2" s="13" t="n">
        <f aca="false">IF(H2="","",H2*1000000000/'Read me'!$B$4)</f>
        <v>370226.032735776</v>
      </c>
      <c r="K2" s="14" t="n">
        <f aca="false">IF(H2="","",H2*1000/G2)</f>
        <v>139.705882352941</v>
      </c>
      <c r="L2" s="11" t="str">
        <f aca="false">IF(G2&gt;'Read me'!$B$7,"Yes","No")</f>
        <v>Yes</v>
      </c>
      <c r="M2" s="11" t="str">
        <f aca="false">IF(H2="","Unknown",IF(J2&lt;='Read me'!$B$5,"Yes","No"))</f>
        <v>No</v>
      </c>
      <c r="N2" s="11" t="s">
        <v>68</v>
      </c>
    </row>
    <row r="3" customFormat="false" ht="15" hidden="false" customHeight="false" outlineLevel="0" collapsed="false">
      <c r="A3" s="11" t="n">
        <v>2</v>
      </c>
      <c r="B3" s="11" t="s">
        <v>62</v>
      </c>
      <c r="C3" s="11" t="s">
        <v>69</v>
      </c>
      <c r="D3" s="10" t="s">
        <v>64</v>
      </c>
      <c r="E3" s="11" t="s">
        <v>65</v>
      </c>
      <c r="F3" s="11" t="s">
        <v>70</v>
      </c>
      <c r="G3" s="11" t="n">
        <v>31</v>
      </c>
      <c r="H3" s="12" t="n">
        <v>8.3</v>
      </c>
      <c r="I3" s="11" t="s">
        <v>67</v>
      </c>
      <c r="J3" s="13" t="n">
        <f aca="false">IF(H3="","",H3*1000000000/'Read me'!$B$4)</f>
        <v>323460.639127046</v>
      </c>
      <c r="K3" s="14" t="n">
        <f aca="false">IF(H3="","",H3*1000/G3)</f>
        <v>267.741935483871</v>
      </c>
      <c r="L3" s="11" t="str">
        <f aca="false">IF(G3&gt;'Read me'!$B$7,"Yes","No")</f>
        <v>No</v>
      </c>
      <c r="M3" s="11" t="str">
        <f aca="false">IF(H3="","Unknown",IF(J3&lt;='Read me'!$B$5,"Yes","No"))</f>
        <v>No</v>
      </c>
      <c r="N3" s="11" t="s">
        <v>71</v>
      </c>
    </row>
    <row r="4" customFormat="false" ht="15" hidden="false" customHeight="false" outlineLevel="0" collapsed="false">
      <c r="A4" s="11" t="n">
        <v>3</v>
      </c>
      <c r="B4" s="11" t="s">
        <v>62</v>
      </c>
      <c r="C4" s="11" t="s">
        <v>72</v>
      </c>
      <c r="D4" s="10" t="s">
        <v>64</v>
      </c>
      <c r="E4" s="11" t="s">
        <v>65</v>
      </c>
      <c r="F4" s="11" t="s">
        <v>73</v>
      </c>
      <c r="G4" s="11" t="n">
        <v>31</v>
      </c>
      <c r="H4" s="12" t="n">
        <v>7.2</v>
      </c>
      <c r="I4" s="11" t="s">
        <v>74</v>
      </c>
      <c r="J4" s="13" t="n">
        <f aca="false">IF(H4="","",H4*1000000000/'Read me'!$B$4)</f>
        <v>280592.361652377</v>
      </c>
      <c r="K4" s="14" t="n">
        <f aca="false">IF(H4="","",H4*1000/G4)</f>
        <v>232.258064516129</v>
      </c>
      <c r="L4" s="11" t="str">
        <f aca="false">IF(G4&gt;'Read me'!$B$7,"Yes","No")</f>
        <v>No</v>
      </c>
      <c r="M4" s="11" t="str">
        <f aca="false">IF(H4="","Unknown",IF(J4&lt;='Read me'!$B$5,"Yes","No"))</f>
        <v>Yes</v>
      </c>
      <c r="N4" s="11" t="s">
        <v>75</v>
      </c>
    </row>
    <row r="5" customFormat="false" ht="15" hidden="false" customHeight="false" outlineLevel="0" collapsed="false">
      <c r="A5" s="11" t="n">
        <v>4</v>
      </c>
      <c r="B5" s="11" t="s">
        <v>62</v>
      </c>
      <c r="C5" s="11" t="s">
        <v>76</v>
      </c>
      <c r="D5" s="10" t="s">
        <v>64</v>
      </c>
      <c r="E5" s="11" t="s">
        <v>65</v>
      </c>
      <c r="F5" s="11" t="s">
        <v>70</v>
      </c>
      <c r="G5" s="11" t="n">
        <v>27</v>
      </c>
      <c r="H5" s="12" t="n">
        <v>7.1</v>
      </c>
      <c r="I5" s="11" t="s">
        <v>74</v>
      </c>
      <c r="J5" s="13" t="n">
        <f aca="false">IF(H5="","",H5*1000000000/'Read me'!$B$4)</f>
        <v>276695.245518316</v>
      </c>
      <c r="K5" s="14" t="n">
        <f aca="false">IF(H5="","",H5*1000/G5)</f>
        <v>262.962962962963</v>
      </c>
      <c r="L5" s="11" t="str">
        <f aca="false">IF(G5&gt;'Read me'!$B$7,"Yes","No")</f>
        <v>No</v>
      </c>
      <c r="M5" s="11" t="str">
        <f aca="false">IF(H5="","Unknown",IF(J5&lt;='Read me'!$B$5,"Yes","No"))</f>
        <v>Yes</v>
      </c>
      <c r="N5" s="11" t="s">
        <v>75</v>
      </c>
    </row>
    <row r="6" customFormat="false" ht="15" hidden="false" customHeight="false" outlineLevel="0" collapsed="false">
      <c r="A6" s="11" t="n">
        <v>5</v>
      </c>
      <c r="B6" s="11" t="s">
        <v>62</v>
      </c>
      <c r="C6" s="11" t="s">
        <v>77</v>
      </c>
      <c r="D6" s="10" t="s">
        <v>64</v>
      </c>
      <c r="E6" s="11" t="s">
        <v>65</v>
      </c>
      <c r="F6" s="11" t="s">
        <v>73</v>
      </c>
      <c r="G6" s="11" t="n">
        <v>50.6</v>
      </c>
      <c r="H6" s="12" t="n">
        <v>8.1</v>
      </c>
      <c r="I6" s="11" t="s">
        <v>74</v>
      </c>
      <c r="J6" s="13" t="n">
        <f aca="false">IF(H6="","",H6*1000000000/'Read me'!$B$4)</f>
        <v>315666.406858924</v>
      </c>
      <c r="K6" s="14" t="n">
        <f aca="false">IF(H6="","",H6*1000/G6)</f>
        <v>160.079051383399</v>
      </c>
      <c r="L6" s="11" t="str">
        <f aca="false">IF(G6&gt;'Read me'!$B$7,"Yes","No")</f>
        <v>Yes</v>
      </c>
      <c r="M6" s="11" t="str">
        <f aca="false">IF(H6="","Unknown",IF(J6&lt;='Read me'!$B$5,"Yes","No"))</f>
        <v>No</v>
      </c>
      <c r="N6" s="11" t="s">
        <v>78</v>
      </c>
    </row>
    <row r="7" customFormat="false" ht="15" hidden="false" customHeight="false" outlineLevel="0" collapsed="false">
      <c r="A7" s="11" t="n">
        <v>6</v>
      </c>
      <c r="B7" s="11" t="s">
        <v>62</v>
      </c>
      <c r="C7" s="11" t="s">
        <v>79</v>
      </c>
      <c r="D7" s="10" t="s">
        <v>64</v>
      </c>
      <c r="E7" s="11" t="s">
        <v>65</v>
      </c>
      <c r="F7" s="11" t="s">
        <v>80</v>
      </c>
      <c r="G7" s="11" t="n">
        <v>48</v>
      </c>
      <c r="H7" s="12" t="n">
        <v>8.6</v>
      </c>
      <c r="I7" s="11" t="s">
        <v>81</v>
      </c>
      <c r="J7" s="13" t="n">
        <f aca="false">IF(H7="","",H7*1000000000/'Read me'!$B$4)</f>
        <v>335151.987529228</v>
      </c>
      <c r="K7" s="14" t="n">
        <f aca="false">IF(H7="","",H7*1000/G7)</f>
        <v>179.166666666667</v>
      </c>
      <c r="L7" s="11" t="str">
        <f aca="false">IF(G7&gt;'Read me'!$B$7,"Yes","No")</f>
        <v>No</v>
      </c>
      <c r="M7" s="11" t="str">
        <f aca="false">IF(H7="","Unknown",IF(J7&lt;='Read me'!$B$5,"Yes","No"))</f>
        <v>No</v>
      </c>
      <c r="N7" s="11" t="s">
        <v>71</v>
      </c>
    </row>
    <row r="8" customFormat="false" ht="15" hidden="false" customHeight="false" outlineLevel="0" collapsed="false">
      <c r="A8" s="11" t="n">
        <v>7</v>
      </c>
      <c r="B8" s="11" t="s">
        <v>62</v>
      </c>
      <c r="C8" s="11" t="s">
        <v>82</v>
      </c>
      <c r="D8" s="10" t="s">
        <v>64</v>
      </c>
      <c r="E8" s="11" t="s">
        <v>65</v>
      </c>
      <c r="F8" s="11" t="s">
        <v>83</v>
      </c>
      <c r="G8" s="11" t="n">
        <v>68</v>
      </c>
      <c r="H8" s="12" t="n">
        <v>10</v>
      </c>
      <c r="I8" s="11" t="s">
        <v>81</v>
      </c>
      <c r="J8" s="13" t="n">
        <f aca="false">IF(H8="","",H8*1000000000/'Read me'!$B$4)</f>
        <v>389711.61340608</v>
      </c>
      <c r="K8" s="14" t="n">
        <f aca="false">IF(H8="","",H8*1000/G8)</f>
        <v>147.058823529412</v>
      </c>
      <c r="L8" s="11" t="str">
        <f aca="false">IF(G8&gt;'Read me'!$B$7,"Yes","No")</f>
        <v>Yes</v>
      </c>
      <c r="M8" s="11" t="str">
        <f aca="false">IF(H8="","Unknown",IF(J8&lt;='Read me'!$B$5,"Yes","No"))</f>
        <v>No</v>
      </c>
      <c r="N8" s="11" t="s">
        <v>68</v>
      </c>
    </row>
    <row r="9" customFormat="false" ht="15" hidden="false" customHeight="false" outlineLevel="0" collapsed="false">
      <c r="A9" s="11" t="n">
        <v>8</v>
      </c>
      <c r="B9" s="11" t="s">
        <v>62</v>
      </c>
      <c r="C9" s="11" t="s">
        <v>84</v>
      </c>
      <c r="D9" s="10" t="s">
        <v>64</v>
      </c>
      <c r="E9" s="11" t="s">
        <v>65</v>
      </c>
      <c r="F9" s="11" t="s">
        <v>85</v>
      </c>
      <c r="G9" s="11" t="n">
        <v>110</v>
      </c>
      <c r="H9" s="12" t="n">
        <v>8</v>
      </c>
      <c r="I9" s="11" t="s">
        <v>86</v>
      </c>
      <c r="J9" s="13" t="n">
        <f aca="false">IF(H9="","",H9*1000000000/'Read me'!$B$4)</f>
        <v>311769.290724864</v>
      </c>
      <c r="K9" s="14" t="n">
        <f aca="false">IF(H9="","",H9*1000/G9)</f>
        <v>72.7272727272727</v>
      </c>
      <c r="L9" s="11" t="str">
        <f aca="false">IF(G9&gt;'Read me'!$B$7,"Yes","No")</f>
        <v>Yes</v>
      </c>
      <c r="M9" s="11" t="str">
        <f aca="false">IF(H9="","Unknown",IF(J9&lt;='Read me'!$B$5,"Yes","No"))</f>
        <v>No</v>
      </c>
      <c r="N9" s="11" t="s">
        <v>87</v>
      </c>
    </row>
    <row r="10" customFormat="false" ht="15" hidden="false" customHeight="false" outlineLevel="0" collapsed="false">
      <c r="A10" s="11" t="n">
        <v>9</v>
      </c>
      <c r="B10" s="11" t="s">
        <v>62</v>
      </c>
      <c r="C10" s="11" t="s">
        <v>88</v>
      </c>
      <c r="D10" s="10" t="s">
        <v>64</v>
      </c>
      <c r="E10" s="11" t="s">
        <v>65</v>
      </c>
      <c r="F10" s="11" t="s">
        <v>89</v>
      </c>
      <c r="G10" s="11" t="n">
        <v>27</v>
      </c>
      <c r="H10" s="12" t="n">
        <v>7.8</v>
      </c>
      <c r="I10" s="11" t="s">
        <v>90</v>
      </c>
      <c r="J10" s="13" t="n">
        <f aca="false">IF(H10="","",H10*1000000000/'Read me'!$B$4)</f>
        <v>303975.058456742</v>
      </c>
      <c r="K10" s="14" t="n">
        <f aca="false">IF(H10="","",H10*1000/G10)</f>
        <v>288.888888888889</v>
      </c>
      <c r="L10" s="11" t="str">
        <f aca="false">IF(G10&gt;'Read me'!$B$7,"Yes","No")</f>
        <v>No</v>
      </c>
      <c r="M10" s="11" t="str">
        <f aca="false">IF(H10="","Unknown",IF(J10&lt;='Read me'!$B$5,"Yes","No"))</f>
        <v>No</v>
      </c>
      <c r="N10" s="11" t="s">
        <v>71</v>
      </c>
    </row>
    <row r="11" customFormat="false" ht="15" hidden="false" customHeight="false" outlineLevel="0" collapsed="false">
      <c r="A11" s="11" t="n">
        <v>10</v>
      </c>
      <c r="B11" s="11" t="s">
        <v>62</v>
      </c>
      <c r="C11" s="11" t="s">
        <v>91</v>
      </c>
      <c r="D11" s="10" t="s">
        <v>64</v>
      </c>
      <c r="E11" s="11" t="s">
        <v>65</v>
      </c>
      <c r="F11" s="11" t="s">
        <v>83</v>
      </c>
      <c r="G11" s="11" t="n">
        <v>51.5</v>
      </c>
      <c r="H11" s="12" t="n">
        <v>7.8</v>
      </c>
      <c r="I11" s="11" t="s">
        <v>92</v>
      </c>
      <c r="J11" s="13" t="n">
        <f aca="false">IF(H11="","",H11*1000000000/'Read me'!$B$4)</f>
        <v>303975.058456742</v>
      </c>
      <c r="K11" s="14" t="n">
        <f aca="false">IF(H11="","",H11*1000/G11)</f>
        <v>151.456310679612</v>
      </c>
      <c r="L11" s="11" t="str">
        <f aca="false">IF(G11&gt;'Read me'!$B$7,"Yes","No")</f>
        <v>Yes</v>
      </c>
      <c r="M11" s="11" t="str">
        <f aca="false">IF(H11="","Unknown",IF(J11&lt;='Read me'!$B$5,"Yes","No"))</f>
        <v>No</v>
      </c>
      <c r="N11" s="11" t="s">
        <v>93</v>
      </c>
    </row>
    <row r="12" customFormat="false" ht="15" hidden="false" customHeight="false" outlineLevel="0" collapsed="false">
      <c r="A12" s="11" t="n">
        <v>11</v>
      </c>
      <c r="B12" s="11" t="s">
        <v>62</v>
      </c>
      <c r="C12" s="11" t="s">
        <v>94</v>
      </c>
      <c r="D12" s="10" t="s">
        <v>64</v>
      </c>
      <c r="E12" s="11" t="s">
        <v>65</v>
      </c>
      <c r="F12" s="11" t="s">
        <v>95</v>
      </c>
      <c r="G12" s="11" t="n">
        <v>53</v>
      </c>
      <c r="H12" s="12" t="n">
        <v>8.3</v>
      </c>
      <c r="I12" s="11" t="s">
        <v>92</v>
      </c>
      <c r="J12" s="13" t="n">
        <f aca="false">IF(H12="","",H12*1000000000/'Read me'!$B$4)</f>
        <v>323460.639127046</v>
      </c>
      <c r="K12" s="14" t="n">
        <f aca="false">IF(H12="","",H12*1000/G12)</f>
        <v>156.603773584906</v>
      </c>
      <c r="L12" s="11" t="str">
        <f aca="false">IF(G12&gt;'Read me'!$B$7,"Yes","No")</f>
        <v>Yes</v>
      </c>
      <c r="M12" s="11" t="str">
        <f aca="false">IF(H12="","Unknown",IF(J12&lt;='Read me'!$B$5,"Yes","No"))</f>
        <v>No</v>
      </c>
      <c r="N12" s="11" t="s">
        <v>68</v>
      </c>
    </row>
    <row r="13" customFormat="false" ht="15" hidden="false" customHeight="false" outlineLevel="0" collapsed="false">
      <c r="A13" s="11" t="n">
        <v>12</v>
      </c>
      <c r="B13" s="11" t="s">
        <v>62</v>
      </c>
      <c r="C13" s="11" t="s">
        <v>96</v>
      </c>
      <c r="D13" s="10" t="s">
        <v>64</v>
      </c>
      <c r="E13" s="11" t="s">
        <v>65</v>
      </c>
      <c r="F13" s="11" t="s">
        <v>89</v>
      </c>
      <c r="G13" s="11" t="n">
        <v>34</v>
      </c>
      <c r="H13" s="12" t="n">
        <v>8.3</v>
      </c>
      <c r="I13" s="11" t="s">
        <v>97</v>
      </c>
      <c r="J13" s="13" t="n">
        <f aca="false">IF(H13="","",H13*1000000000/'Read me'!$B$4)</f>
        <v>323460.639127046</v>
      </c>
      <c r="K13" s="14" t="n">
        <f aca="false">IF(H13="","",H13*1000/G13)</f>
        <v>244.117647058824</v>
      </c>
      <c r="L13" s="11" t="str">
        <f aca="false">IF(G13&gt;'Read me'!$B$7,"Yes","No")</f>
        <v>No</v>
      </c>
      <c r="M13" s="11" t="str">
        <f aca="false">IF(H13="","Unknown",IF(J13&lt;='Read me'!$B$5,"Yes","No"))</f>
        <v>No</v>
      </c>
      <c r="N13" s="11" t="s">
        <v>71</v>
      </c>
    </row>
    <row r="14" customFormat="false" ht="15" hidden="false" customHeight="false" outlineLevel="0" collapsed="false">
      <c r="A14" s="11" t="n">
        <v>13</v>
      </c>
      <c r="B14" s="11" t="s">
        <v>98</v>
      </c>
      <c r="C14" s="11" t="s">
        <v>99</v>
      </c>
      <c r="D14" s="10" t="s">
        <v>64</v>
      </c>
      <c r="E14" s="11" t="s">
        <v>65</v>
      </c>
      <c r="F14" s="11" t="s">
        <v>100</v>
      </c>
      <c r="G14" s="11" t="n">
        <v>58</v>
      </c>
      <c r="H14" s="12" t="n">
        <v>6.8</v>
      </c>
      <c r="I14" s="11" t="s">
        <v>81</v>
      </c>
      <c r="J14" s="13" t="n">
        <f aca="false">IF(H14="","",H14*1000000000/'Read me'!$B$4)</f>
        <v>265003.897116134</v>
      </c>
      <c r="K14" s="14" t="n">
        <f aca="false">IF(H14="","",H14*1000/G14)</f>
        <v>117.241379310345</v>
      </c>
      <c r="L14" s="11" t="str">
        <f aca="false">IF(G14&gt;'Read me'!$B$7,"Yes","No")</f>
        <v>Yes</v>
      </c>
      <c r="M14" s="11" t="str">
        <f aca="false">IF(H14="","Unknown",IF(J14&lt;='Read me'!$B$5,"Yes","No"))</f>
        <v>Yes</v>
      </c>
      <c r="N14" s="11" t="s">
        <v>101</v>
      </c>
    </row>
    <row r="15" customFormat="false" ht="15" hidden="false" customHeight="false" outlineLevel="0" collapsed="false">
      <c r="A15" s="11" t="n">
        <v>14</v>
      </c>
      <c r="B15" s="11" t="s">
        <v>98</v>
      </c>
      <c r="C15" s="11" t="s">
        <v>102</v>
      </c>
      <c r="D15" s="10" t="s">
        <v>64</v>
      </c>
      <c r="E15" s="11" t="s">
        <v>65</v>
      </c>
      <c r="F15" s="11" t="s">
        <v>73</v>
      </c>
      <c r="G15" s="11" t="n">
        <v>60</v>
      </c>
      <c r="H15" s="12" t="n">
        <v>4.9</v>
      </c>
      <c r="I15" s="11" t="s">
        <v>90</v>
      </c>
      <c r="J15" s="13" t="n">
        <f aca="false">IF(H15="","",H15*1000000000/'Read me'!$B$4)</f>
        <v>190958.690568979</v>
      </c>
      <c r="K15" s="14" t="n">
        <f aca="false">IF(H15="","",H15*1000/G15)</f>
        <v>81.6666666666667</v>
      </c>
      <c r="L15" s="11" t="str">
        <f aca="false">IF(G15&gt;'Read me'!$B$7,"Yes","No")</f>
        <v>Yes</v>
      </c>
      <c r="M15" s="11" t="str">
        <f aca="false">IF(H15="","Unknown",IF(J15&lt;='Read me'!$B$5,"Yes","No"))</f>
        <v>Yes</v>
      </c>
      <c r="N15" s="11" t="s">
        <v>103</v>
      </c>
    </row>
    <row r="16" customFormat="false" ht="15" hidden="false" customHeight="false" outlineLevel="0" collapsed="false">
      <c r="A16" s="11" t="n">
        <v>15</v>
      </c>
      <c r="B16" s="11" t="s">
        <v>98</v>
      </c>
      <c r="C16" s="11" t="s">
        <v>104</v>
      </c>
      <c r="D16" s="10" t="s">
        <v>64</v>
      </c>
      <c r="E16" s="11" t="s">
        <v>65</v>
      </c>
      <c r="F16" s="11" t="s">
        <v>73</v>
      </c>
      <c r="G16" s="11" t="n">
        <v>31</v>
      </c>
      <c r="H16" s="12" t="n">
        <v>7</v>
      </c>
      <c r="I16" s="11" t="s">
        <v>105</v>
      </c>
      <c r="J16" s="13" t="n">
        <f aca="false">IF(H16="","",H16*1000000000/'Read me'!$B$4)</f>
        <v>272798.129384256</v>
      </c>
      <c r="K16" s="14" t="n">
        <f aca="false">IF(H16="","",H16*1000/G16)</f>
        <v>225.806451612903</v>
      </c>
      <c r="L16" s="11" t="str">
        <f aca="false">IF(G16&gt;'Read me'!$B$7,"Yes","No")</f>
        <v>No</v>
      </c>
      <c r="M16" s="11" t="str">
        <f aca="false">IF(H16="","Unknown",IF(J16&lt;='Read me'!$B$5,"Yes","No"))</f>
        <v>Yes</v>
      </c>
      <c r="N16" s="11" t="s">
        <v>106</v>
      </c>
    </row>
    <row r="17" customFormat="false" ht="15" hidden="false" customHeight="false" outlineLevel="0" collapsed="false">
      <c r="A17" s="11" t="n">
        <v>16</v>
      </c>
      <c r="B17" s="11" t="s">
        <v>98</v>
      </c>
      <c r="C17" s="11" t="s">
        <v>107</v>
      </c>
      <c r="D17" s="10" t="s">
        <v>64</v>
      </c>
      <c r="E17" s="11" t="s">
        <v>65</v>
      </c>
      <c r="F17" s="11" t="s">
        <v>73</v>
      </c>
      <c r="G17" s="11" t="n">
        <v>60</v>
      </c>
      <c r="H17" s="12" t="n">
        <v>9.8</v>
      </c>
      <c r="I17" s="11" t="s">
        <v>67</v>
      </c>
      <c r="J17" s="13" t="n">
        <f aca="false">IF(H17="","",H17*1000000000/'Read me'!$B$4)</f>
        <v>381917.381137958</v>
      </c>
      <c r="K17" s="14" t="n">
        <f aca="false">IF(H17="","",H17*1000/G17)</f>
        <v>163.333333333333</v>
      </c>
      <c r="L17" s="11" t="str">
        <f aca="false">IF(G17&gt;'Read me'!$B$7,"Yes","No")</f>
        <v>Yes</v>
      </c>
      <c r="M17" s="11" t="str">
        <f aca="false">IF(H17="","Unknown",IF(J17&lt;='Read me'!$B$5,"Yes","No"))</f>
        <v>No</v>
      </c>
      <c r="N17" s="11" t="s">
        <v>68</v>
      </c>
    </row>
    <row r="18" customFormat="false" ht="15" hidden="false" customHeight="false" outlineLevel="0" collapsed="false">
      <c r="A18" s="11" t="n">
        <v>17</v>
      </c>
      <c r="B18" s="11" t="s">
        <v>98</v>
      </c>
      <c r="C18" s="11" t="s">
        <v>108</v>
      </c>
      <c r="D18" s="10" t="s">
        <v>64</v>
      </c>
      <c r="E18" s="11" t="s">
        <v>65</v>
      </c>
      <c r="F18" s="11" t="s">
        <v>109</v>
      </c>
      <c r="G18" s="11" t="n">
        <v>53</v>
      </c>
      <c r="H18" s="12" t="n">
        <v>7.9</v>
      </c>
      <c r="I18" s="11" t="s">
        <v>67</v>
      </c>
      <c r="J18" s="13" t="n">
        <f aca="false">IF(H18="","",H18*1000000000/'Read me'!$B$4)</f>
        <v>307872.174590803</v>
      </c>
      <c r="K18" s="14" t="n">
        <f aca="false">IF(H18="","",H18*1000/G18)</f>
        <v>149.056603773585</v>
      </c>
      <c r="L18" s="11" t="str">
        <f aca="false">IF(G18&gt;'Read me'!$B$7,"Yes","No")</f>
        <v>Yes</v>
      </c>
      <c r="M18" s="11" t="str">
        <f aca="false">IF(H18="","Unknown",IF(J18&lt;='Read me'!$B$5,"Yes","No"))</f>
        <v>No</v>
      </c>
      <c r="N18" s="11" t="s">
        <v>110</v>
      </c>
    </row>
    <row r="19" customFormat="false" ht="15" hidden="false" customHeight="false" outlineLevel="0" collapsed="false">
      <c r="A19" s="11" t="n">
        <v>18</v>
      </c>
      <c r="B19" s="11" t="s">
        <v>98</v>
      </c>
      <c r="C19" s="11" t="s">
        <v>111</v>
      </c>
      <c r="D19" s="10" t="s">
        <v>64</v>
      </c>
      <c r="E19" s="11" t="s">
        <v>65</v>
      </c>
      <c r="F19" s="11" t="s">
        <v>100</v>
      </c>
      <c r="G19" s="11" t="n">
        <v>40.2</v>
      </c>
      <c r="H19" s="12" t="n">
        <v>9</v>
      </c>
      <c r="I19" s="11" t="s">
        <v>67</v>
      </c>
      <c r="J19" s="13" t="n">
        <f aca="false">IF(H19="","",H19*1000000000/'Read me'!$B$4)</f>
        <v>350740.452065472</v>
      </c>
      <c r="K19" s="14" t="n">
        <f aca="false">IF(H19="","",H19*1000/G19)</f>
        <v>223.880597014925</v>
      </c>
      <c r="L19" s="11" t="str">
        <f aca="false">IF(G19&gt;'Read me'!$B$7,"Yes","No")</f>
        <v>No</v>
      </c>
      <c r="M19" s="11" t="str">
        <f aca="false">IF(H19="","Unknown",IF(J19&lt;='Read me'!$B$5,"Yes","No"))</f>
        <v>No</v>
      </c>
      <c r="N19" s="11" t="s">
        <v>71</v>
      </c>
    </row>
    <row r="20" customFormat="false" ht="15" hidden="false" customHeight="false" outlineLevel="0" collapsed="false">
      <c r="A20" s="11" t="n">
        <v>19</v>
      </c>
      <c r="B20" s="11" t="s">
        <v>98</v>
      </c>
      <c r="C20" s="11" t="s">
        <v>112</v>
      </c>
      <c r="D20" s="10" t="s">
        <v>64</v>
      </c>
      <c r="E20" s="11" t="s">
        <v>65</v>
      </c>
      <c r="F20" s="11" t="s">
        <v>89</v>
      </c>
      <c r="G20" s="11" t="n">
        <v>32</v>
      </c>
      <c r="H20" s="12" t="n">
        <v>6.5</v>
      </c>
      <c r="I20" s="11" t="s">
        <v>67</v>
      </c>
      <c r="J20" s="13" t="n">
        <f aca="false">IF(H20="","",H20*1000000000/'Read me'!$B$4)</f>
        <v>253312.548713952</v>
      </c>
      <c r="K20" s="14" t="n">
        <f aca="false">IF(H20="","",H20*1000/G20)</f>
        <v>203.125</v>
      </c>
      <c r="L20" s="11" t="str">
        <f aca="false">IF(G20&gt;'Read me'!$B$7,"Yes","No")</f>
        <v>No</v>
      </c>
      <c r="M20" s="11" t="str">
        <f aca="false">IF(H20="","Unknown",IF(J20&lt;='Read me'!$B$5,"Yes","No"))</f>
        <v>Yes</v>
      </c>
      <c r="N20" s="11" t="s">
        <v>75</v>
      </c>
    </row>
    <row r="21" customFormat="false" ht="15" hidden="false" customHeight="false" outlineLevel="0" collapsed="false">
      <c r="A21" s="11" t="n">
        <v>20</v>
      </c>
      <c r="B21" s="11" t="s">
        <v>98</v>
      </c>
      <c r="C21" s="11" t="s">
        <v>113</v>
      </c>
      <c r="D21" s="10" t="s">
        <v>64</v>
      </c>
      <c r="E21" s="11" t="s">
        <v>65</v>
      </c>
      <c r="F21" s="11" t="s">
        <v>114</v>
      </c>
      <c r="G21" s="11" t="n">
        <v>29</v>
      </c>
      <c r="H21" s="12" t="n">
        <v>6</v>
      </c>
      <c r="I21" s="11" t="s">
        <v>67</v>
      </c>
      <c r="J21" s="13" t="n">
        <f aca="false">IF(H21="","",H21*1000000000/'Read me'!$B$4)</f>
        <v>233826.968043648</v>
      </c>
      <c r="K21" s="14" t="n">
        <f aca="false">IF(H21="","",H21*1000/G21)</f>
        <v>206.896551724138</v>
      </c>
      <c r="L21" s="11" t="str">
        <f aca="false">IF(G21&gt;'Read me'!$B$7,"Yes","No")</f>
        <v>No</v>
      </c>
      <c r="M21" s="11" t="str">
        <f aca="false">IF(H21="","Unknown",IF(J21&lt;='Read me'!$B$5,"Yes","No"))</f>
        <v>Yes</v>
      </c>
      <c r="N21" s="11" t="s">
        <v>75</v>
      </c>
    </row>
    <row r="22" customFormat="false" ht="15" hidden="false" customHeight="false" outlineLevel="0" collapsed="false">
      <c r="A22" s="11" t="n">
        <v>21</v>
      </c>
      <c r="B22" s="11" t="s">
        <v>98</v>
      </c>
      <c r="C22" s="11" t="s">
        <v>115</v>
      </c>
      <c r="D22" s="10" t="s">
        <v>64</v>
      </c>
      <c r="E22" s="11" t="s">
        <v>65</v>
      </c>
      <c r="F22" s="11" t="s">
        <v>116</v>
      </c>
      <c r="G22" s="11" t="n">
        <v>105</v>
      </c>
      <c r="H22" s="12"/>
      <c r="I22" s="11" t="s">
        <v>67</v>
      </c>
      <c r="J22" s="13" t="str">
        <f aca="false">IF(H22="","",H22*1000000000/'Read me'!$B$4)</f>
        <v/>
      </c>
      <c r="K22" s="14" t="str">
        <f aca="false">IF(H22="","",H22*1000/G22)</f>
        <v/>
      </c>
      <c r="L22" s="11" t="str">
        <f aca="false">IF(G22&gt;'Read me'!$B$7,"Yes","No")</f>
        <v>Yes</v>
      </c>
      <c r="M22" s="11" t="str">
        <f aca="false">IF(H22="","Unknown",IF(J22&lt;='Read me'!$B$5,"Yes","No"))</f>
        <v>Unknown</v>
      </c>
      <c r="N22" s="11" t="s">
        <v>117</v>
      </c>
    </row>
    <row r="23" customFormat="false" ht="15" hidden="false" customHeight="false" outlineLevel="0" collapsed="false">
      <c r="A23" s="11" t="n">
        <v>22</v>
      </c>
      <c r="B23" s="11" t="s">
        <v>98</v>
      </c>
      <c r="C23" s="11" t="s">
        <v>118</v>
      </c>
      <c r="D23" s="10" t="s">
        <v>64</v>
      </c>
      <c r="E23" s="11" t="s">
        <v>65</v>
      </c>
      <c r="F23" s="11" t="s">
        <v>89</v>
      </c>
      <c r="G23" s="11" t="n">
        <v>46</v>
      </c>
      <c r="H23" s="12" t="n">
        <v>7.9</v>
      </c>
      <c r="I23" s="11" t="s">
        <v>67</v>
      </c>
      <c r="J23" s="13" t="n">
        <f aca="false">IF(H23="","",H23*1000000000/'Read me'!$B$4)</f>
        <v>307872.174590803</v>
      </c>
      <c r="K23" s="14" t="n">
        <f aca="false">IF(H23="","",H23*1000/G23)</f>
        <v>171.739130434783</v>
      </c>
      <c r="L23" s="11" t="str">
        <f aca="false">IF(G23&gt;'Read me'!$B$7,"Yes","No")</f>
        <v>No</v>
      </c>
      <c r="M23" s="11" t="str">
        <f aca="false">IF(H23="","Unknown",IF(J23&lt;='Read me'!$B$5,"Yes","No"))</f>
        <v>No</v>
      </c>
      <c r="N23" s="11" t="s">
        <v>71</v>
      </c>
    </row>
    <row r="24" customFormat="false" ht="15" hidden="false" customHeight="false" outlineLevel="0" collapsed="false">
      <c r="A24" s="11" t="n">
        <v>23</v>
      </c>
      <c r="B24" s="11" t="s">
        <v>98</v>
      </c>
      <c r="C24" s="11" t="s">
        <v>119</v>
      </c>
      <c r="D24" s="10" t="s">
        <v>64</v>
      </c>
      <c r="E24" s="11" t="s">
        <v>65</v>
      </c>
      <c r="F24" s="11" t="s">
        <v>109</v>
      </c>
      <c r="G24" s="11" t="n">
        <v>38.4</v>
      </c>
      <c r="H24" s="12" t="n">
        <v>11.5</v>
      </c>
      <c r="I24" s="11" t="s">
        <v>67</v>
      </c>
      <c r="J24" s="13" t="n">
        <f aca="false">IF(H24="","",H24*1000000000/'Read me'!$B$4)</f>
        <v>448168.355416991</v>
      </c>
      <c r="K24" s="14" t="n">
        <f aca="false">IF(H24="","",H24*1000/G24)</f>
        <v>299.479166666667</v>
      </c>
      <c r="L24" s="11" t="str">
        <f aca="false">IF(G24&gt;'Read me'!$B$7,"Yes","No")</f>
        <v>No</v>
      </c>
      <c r="M24" s="11" t="str">
        <f aca="false">IF(H24="","Unknown",IF(J24&lt;='Read me'!$B$5,"Yes","No"))</f>
        <v>No</v>
      </c>
      <c r="N24" s="11" t="s">
        <v>68</v>
      </c>
    </row>
    <row r="25" customFormat="false" ht="26.85" hidden="false" customHeight="false" outlineLevel="0" collapsed="false">
      <c r="A25" s="11" t="n">
        <v>24</v>
      </c>
      <c r="B25" s="11" t="s">
        <v>120</v>
      </c>
      <c r="C25" s="11" t="s">
        <v>121</v>
      </c>
      <c r="D25" s="10" t="s">
        <v>64</v>
      </c>
      <c r="E25" s="11" t="s">
        <v>65</v>
      </c>
      <c r="F25" s="11" t="s">
        <v>83</v>
      </c>
      <c r="G25" s="11" t="n">
        <v>52</v>
      </c>
      <c r="H25" s="12" t="n">
        <v>7.8</v>
      </c>
      <c r="I25" s="11" t="s">
        <v>105</v>
      </c>
      <c r="J25" s="13" t="n">
        <f aca="false">IF(H25="","",H25*1000000000/'Read me'!$B$4)</f>
        <v>303975.058456742</v>
      </c>
      <c r="K25" s="14" t="n">
        <f aca="false">IF(H25="","",H25*1000/G25)</f>
        <v>150</v>
      </c>
      <c r="L25" s="11" t="str">
        <f aca="false">IF(G25&gt;'Read me'!$B$7,"Yes","No")</f>
        <v>Yes</v>
      </c>
      <c r="M25" s="11" t="str">
        <f aca="false">IF(H25="","Unknown",IF(J25&lt;='Read me'!$B$5,"Yes","No"))</f>
        <v>No</v>
      </c>
      <c r="N25" s="11" t="s">
        <v>122</v>
      </c>
    </row>
    <row r="26" customFormat="false" ht="15" hidden="false" customHeight="false" outlineLevel="0" collapsed="false">
      <c r="A26" s="11" t="n">
        <v>25</v>
      </c>
      <c r="B26" s="11" t="s">
        <v>120</v>
      </c>
      <c r="C26" s="11" t="s">
        <v>123</v>
      </c>
      <c r="D26" s="10" t="s">
        <v>64</v>
      </c>
      <c r="E26" s="11" t="s">
        <v>65</v>
      </c>
      <c r="F26" s="11" t="s">
        <v>83</v>
      </c>
      <c r="G26" s="11" t="n">
        <v>51</v>
      </c>
      <c r="H26" s="12" t="n">
        <v>8.69</v>
      </c>
      <c r="I26" s="11" t="s">
        <v>124</v>
      </c>
      <c r="J26" s="13" t="n">
        <f aca="false">IF(H26="","",H26*1000000000/'Read me'!$B$4)</f>
        <v>338659.392049883</v>
      </c>
      <c r="K26" s="14" t="n">
        <f aca="false">IF(H26="","",H26*1000/G26)</f>
        <v>170.392156862745</v>
      </c>
      <c r="L26" s="11" t="str">
        <f aca="false">IF(G26&gt;'Read me'!$B$7,"Yes","No")</f>
        <v>Yes</v>
      </c>
      <c r="M26" s="11" t="str">
        <f aca="false">IF(H26="","Unknown",IF(J26&lt;='Read me'!$B$5,"Yes","No"))</f>
        <v>No</v>
      </c>
      <c r="N26" s="11" t="s">
        <v>68</v>
      </c>
    </row>
    <row r="27" customFormat="false" ht="15" hidden="false" customHeight="false" outlineLevel="0" collapsed="false">
      <c r="A27" s="11" t="n">
        <v>26</v>
      </c>
      <c r="B27" s="11" t="s">
        <v>120</v>
      </c>
      <c r="C27" s="11" t="s">
        <v>125</v>
      </c>
      <c r="D27" s="10" t="s">
        <v>64</v>
      </c>
      <c r="E27" s="11" t="s">
        <v>65</v>
      </c>
      <c r="F27" s="11" t="s">
        <v>73</v>
      </c>
      <c r="G27" s="11" t="n">
        <v>84</v>
      </c>
      <c r="H27" s="12" t="n">
        <v>13.5</v>
      </c>
      <c r="I27" s="11" t="s">
        <v>126</v>
      </c>
      <c r="J27" s="13" t="n">
        <f aca="false">IF(H27="","",H27*1000000000/'Read me'!$B$4)</f>
        <v>526110.678098207</v>
      </c>
      <c r="K27" s="14" t="n">
        <f aca="false">IF(H27="","",H27*1000/G27)</f>
        <v>160.714285714286</v>
      </c>
      <c r="L27" s="11" t="str">
        <f aca="false">IF(G27&gt;'Read me'!$B$7,"Yes","No")</f>
        <v>Yes</v>
      </c>
      <c r="M27" s="11" t="str">
        <f aca="false">IF(H27="","Unknown",IF(J27&lt;='Read me'!$B$5,"Yes","No"))</f>
        <v>No</v>
      </c>
      <c r="N27" s="11" t="s">
        <v>68</v>
      </c>
    </row>
    <row r="28" customFormat="false" ht="15" hidden="false" customHeight="false" outlineLevel="0" collapsed="false">
      <c r="A28" s="11" t="n">
        <v>27</v>
      </c>
      <c r="B28" s="11" t="s">
        <v>98</v>
      </c>
      <c r="C28" s="11" t="s">
        <v>127</v>
      </c>
      <c r="D28" s="10" t="s">
        <v>64</v>
      </c>
      <c r="E28" s="11" t="s">
        <v>128</v>
      </c>
      <c r="F28" s="11" t="s">
        <v>129</v>
      </c>
      <c r="G28" s="11" t="n">
        <v>54</v>
      </c>
      <c r="H28" s="12" t="n">
        <v>6.89</v>
      </c>
      <c r="I28" s="11" t="s">
        <v>130</v>
      </c>
      <c r="J28" s="13" t="n">
        <f aca="false">IF(H28="","",H28*1000000000/'Read me'!$B$4)</f>
        <v>268511.301636789</v>
      </c>
      <c r="K28" s="14" t="n">
        <f aca="false">IF(H28="","",H28*1000/G28)</f>
        <v>127.592592592593</v>
      </c>
      <c r="L28" s="11" t="str">
        <f aca="false">IF(G28&gt;'Read me'!$B$7,"Yes","No")</f>
        <v>Yes</v>
      </c>
      <c r="M28" s="11" t="str">
        <f aca="false">IF(H28="","Unknown",IF(J28&lt;='Read me'!$B$5,"Yes","No"))</f>
        <v>Yes</v>
      </c>
      <c r="N28" s="11" t="s">
        <v>131</v>
      </c>
    </row>
    <row r="29" customFormat="false" ht="15" hidden="false" customHeight="false" outlineLevel="0" collapsed="false">
      <c r="A29" s="11" t="n">
        <v>28</v>
      </c>
      <c r="B29" s="11" t="s">
        <v>98</v>
      </c>
      <c r="C29" s="11" t="s">
        <v>132</v>
      </c>
      <c r="D29" s="10" t="s">
        <v>64</v>
      </c>
      <c r="E29" s="11" t="s">
        <v>128</v>
      </c>
      <c r="F29" s="11" t="s">
        <v>133</v>
      </c>
      <c r="G29" s="11" t="n">
        <v>60.7</v>
      </c>
      <c r="H29" s="12" t="n">
        <v>6.95</v>
      </c>
      <c r="I29" s="11" t="s">
        <v>90</v>
      </c>
      <c r="J29" s="13" t="n">
        <f aca="false">IF(H29="","",H29*1000000000/'Read me'!$B$4)</f>
        <v>270849.571317225</v>
      </c>
      <c r="K29" s="14" t="n">
        <f aca="false">IF(H29="","",H29*1000/G29)</f>
        <v>114.497528830313</v>
      </c>
      <c r="L29" s="11" t="str">
        <f aca="false">IF(G29&gt;'Read me'!$B$7,"Yes","No")</f>
        <v>Yes</v>
      </c>
      <c r="M29" s="11" t="str">
        <f aca="false">IF(H29="","Unknown",IF(J29&lt;='Read me'!$B$5,"Yes","No"))</f>
        <v>Yes</v>
      </c>
      <c r="N29" s="11" t="s">
        <v>134</v>
      </c>
    </row>
    <row r="30" customFormat="false" ht="15" hidden="false" customHeight="false" outlineLevel="0" collapsed="false">
      <c r="A30" s="11" t="n">
        <v>29</v>
      </c>
      <c r="B30" s="11" t="s">
        <v>135</v>
      </c>
      <c r="C30" s="11" t="s">
        <v>136</v>
      </c>
      <c r="D30" s="10" t="s">
        <v>64</v>
      </c>
      <c r="E30" s="11" t="s">
        <v>128</v>
      </c>
      <c r="F30" s="11" t="s">
        <v>128</v>
      </c>
      <c r="G30" s="11" t="n">
        <v>60</v>
      </c>
      <c r="H30" s="12" t="n">
        <v>7.6</v>
      </c>
      <c r="I30" s="11" t="s">
        <v>67</v>
      </c>
      <c r="J30" s="13" t="n">
        <f aca="false">IF(H30="","",H30*1000000000/'Read me'!$B$4)</f>
        <v>296180.82618862</v>
      </c>
      <c r="K30" s="14" t="n">
        <f aca="false">IF(H30="","",H30*1000/G30)</f>
        <v>126.666666666667</v>
      </c>
      <c r="L30" s="11" t="str">
        <f aca="false">IF(G30&gt;'Read me'!$B$7,"Yes","No")</f>
        <v>Yes</v>
      </c>
      <c r="M30" s="11" t="str">
        <f aca="false">IF(H30="","Unknown",IF(J30&lt;='Read me'!$B$5,"Yes","No"))</f>
        <v>Yes</v>
      </c>
      <c r="N30" s="11" t="s">
        <v>137</v>
      </c>
    </row>
    <row r="31" customFormat="false" ht="26.85" hidden="false" customHeight="false" outlineLevel="0" collapsed="false">
      <c r="A31" s="11" t="n">
        <v>30</v>
      </c>
      <c r="B31" s="11" t="s">
        <v>135</v>
      </c>
      <c r="C31" s="11" t="s">
        <v>138</v>
      </c>
      <c r="D31" s="10" t="s">
        <v>64</v>
      </c>
      <c r="E31" s="11" t="s">
        <v>65</v>
      </c>
      <c r="F31" s="11" t="s">
        <v>139</v>
      </c>
      <c r="G31" s="11" t="n">
        <v>56</v>
      </c>
      <c r="H31" s="12" t="n">
        <v>7.5</v>
      </c>
      <c r="I31" s="11" t="s">
        <v>67</v>
      </c>
      <c r="J31" s="13" t="n">
        <f aca="false">IF(H31="","",H31*1000000000/'Read me'!$B$4)</f>
        <v>292283.71005456</v>
      </c>
      <c r="K31" s="14" t="n">
        <f aca="false">IF(H31="","",H31*1000/G31)</f>
        <v>133.928571428571</v>
      </c>
      <c r="L31" s="11" t="str">
        <f aca="false">IF(G31&gt;'Read me'!$B$7,"Yes","No")</f>
        <v>Yes</v>
      </c>
      <c r="M31" s="11" t="str">
        <f aca="false">IF(H31="","Unknown",IF(J31&lt;='Read me'!$B$5,"Yes","No"))</f>
        <v>Yes</v>
      </c>
      <c r="N31" s="11" t="s">
        <v>140</v>
      </c>
    </row>
    <row r="32" customFormat="false" ht="15" hidden="false" customHeight="false" outlineLevel="0" collapsed="false">
      <c r="A32" s="11" t="n">
        <v>31</v>
      </c>
      <c r="B32" s="11" t="s">
        <v>135</v>
      </c>
      <c r="C32" s="11" t="s">
        <v>141</v>
      </c>
      <c r="D32" s="10" t="s">
        <v>64</v>
      </c>
      <c r="E32" s="11" t="s">
        <v>128</v>
      </c>
      <c r="F32" s="11" t="s">
        <v>142</v>
      </c>
      <c r="G32" s="11" t="n">
        <v>70</v>
      </c>
      <c r="H32" s="12" t="n">
        <v>6.6</v>
      </c>
      <c r="I32" s="11" t="s">
        <v>67</v>
      </c>
      <c r="J32" s="13" t="n">
        <f aca="false">IF(H32="","",H32*1000000000/'Read me'!$B$4)</f>
        <v>257209.664848012</v>
      </c>
      <c r="K32" s="14" t="n">
        <f aca="false">IF(H32="","",H32*1000/G32)</f>
        <v>94.2857142857143</v>
      </c>
      <c r="L32" s="11" t="str">
        <f aca="false">IF(G32&gt;'Read me'!$B$7,"Yes","No")</f>
        <v>Yes</v>
      </c>
      <c r="M32" s="11" t="str">
        <f aca="false">IF(H32="","Unknown",IF(J32&lt;='Read me'!$B$5,"Yes","No"))</f>
        <v>Yes</v>
      </c>
      <c r="N32" s="11" t="s">
        <v>143</v>
      </c>
    </row>
    <row r="33" customFormat="false" ht="15" hidden="false" customHeight="false" outlineLevel="0" collapsed="false">
      <c r="A33" s="11" t="n">
        <v>32</v>
      </c>
      <c r="B33" s="11" t="s">
        <v>135</v>
      </c>
      <c r="C33" s="11" t="s">
        <v>144</v>
      </c>
      <c r="D33" s="10" t="s">
        <v>64</v>
      </c>
      <c r="E33" s="11" t="s">
        <v>128</v>
      </c>
      <c r="F33" s="11" t="s">
        <v>128</v>
      </c>
      <c r="G33" s="11" t="n">
        <v>51</v>
      </c>
      <c r="H33" s="12" t="n">
        <v>7.8</v>
      </c>
      <c r="I33" s="11" t="s">
        <v>145</v>
      </c>
      <c r="J33" s="13" t="n">
        <f aca="false">IF(H33="","",H33*1000000000/'Read me'!$B$4)</f>
        <v>303975.058456742</v>
      </c>
      <c r="K33" s="14" t="n">
        <f aca="false">IF(H33="","",H33*1000/G33)</f>
        <v>152.941176470588</v>
      </c>
      <c r="L33" s="11" t="str">
        <f aca="false">IF(G33&gt;'Read me'!$B$7,"Yes","No")</f>
        <v>Yes</v>
      </c>
      <c r="M33" s="11" t="str">
        <f aca="false">IF(H33="","Unknown",IF(J33&lt;='Read me'!$B$5,"Yes","No"))</f>
        <v>No</v>
      </c>
      <c r="N33" s="11" t="s">
        <v>68</v>
      </c>
    </row>
    <row r="34" customFormat="false" ht="15" hidden="false" customHeight="false" outlineLevel="0" collapsed="false">
      <c r="A34" s="11" t="n">
        <v>33</v>
      </c>
      <c r="B34" s="11" t="s">
        <v>135</v>
      </c>
      <c r="C34" s="11" t="s">
        <v>146</v>
      </c>
      <c r="D34" s="10" t="s">
        <v>64</v>
      </c>
      <c r="E34" s="11" t="s">
        <v>128</v>
      </c>
      <c r="F34" s="11" t="s">
        <v>128</v>
      </c>
      <c r="G34" s="11" t="n">
        <v>50</v>
      </c>
      <c r="H34" s="12" t="n">
        <v>7.95</v>
      </c>
      <c r="I34" s="11" t="s">
        <v>145</v>
      </c>
      <c r="J34" s="13" t="n">
        <f aca="false">IF(H34="","",H34*1000000000/'Read me'!$B$4)</f>
        <v>309820.732657833</v>
      </c>
      <c r="K34" s="14" t="n">
        <f aca="false">IF(H34="","",H34*1000/G34)</f>
        <v>159</v>
      </c>
      <c r="L34" s="11" t="str">
        <f aca="false">IF(G34&gt;'Read me'!$B$7,"Yes","No")</f>
        <v>No</v>
      </c>
      <c r="M34" s="11" t="str">
        <f aca="false">IF(H34="","Unknown",IF(J34&lt;='Read me'!$B$5,"Yes","No"))</f>
        <v>No</v>
      </c>
      <c r="N34" s="11" t="s">
        <v>147</v>
      </c>
    </row>
    <row r="35" customFormat="false" ht="15" hidden="false" customHeight="false" outlineLevel="0" collapsed="false">
      <c r="A35" s="11" t="n">
        <v>34</v>
      </c>
      <c r="B35" s="11" t="s">
        <v>135</v>
      </c>
      <c r="C35" s="11" t="s">
        <v>148</v>
      </c>
      <c r="D35" s="10" t="s">
        <v>64</v>
      </c>
      <c r="E35" s="11" t="s">
        <v>128</v>
      </c>
      <c r="F35" s="11" t="s">
        <v>128</v>
      </c>
      <c r="G35" s="11" t="n">
        <v>63.9</v>
      </c>
      <c r="H35" s="12" t="n">
        <v>7.6</v>
      </c>
      <c r="I35" s="11" t="s">
        <v>145</v>
      </c>
      <c r="J35" s="13" t="n">
        <f aca="false">IF(H35="","",H35*1000000000/'Read me'!$B$4)</f>
        <v>296180.82618862</v>
      </c>
      <c r="K35" s="14" t="n">
        <f aca="false">IF(H35="","",H35*1000/G35)</f>
        <v>118.935837245696</v>
      </c>
      <c r="L35" s="11" t="str">
        <f aca="false">IF(G35&gt;'Read me'!$B$7,"Yes","No")</f>
        <v>Yes</v>
      </c>
      <c r="M35" s="11" t="str">
        <f aca="false">IF(H35="","Unknown",IF(J35&lt;='Read me'!$B$5,"Yes","No"))</f>
        <v>Yes</v>
      </c>
      <c r="N35" s="11" t="s">
        <v>149</v>
      </c>
    </row>
    <row r="36" customFormat="false" ht="15" hidden="false" customHeight="false" outlineLevel="0" collapsed="false">
      <c r="A36" s="11" t="n">
        <v>35</v>
      </c>
      <c r="B36" s="11" t="s">
        <v>62</v>
      </c>
      <c r="C36" s="11" t="s">
        <v>150</v>
      </c>
      <c r="D36" s="10" t="s">
        <v>64</v>
      </c>
      <c r="E36" s="11" t="s">
        <v>151</v>
      </c>
      <c r="F36" s="11" t="s">
        <v>152</v>
      </c>
      <c r="G36" s="11" t="n">
        <v>84</v>
      </c>
      <c r="H36" s="12" t="n">
        <v>7.45</v>
      </c>
      <c r="I36" s="11" t="s">
        <v>74</v>
      </c>
      <c r="J36" s="13" t="n">
        <f aca="false">IF(H36="","",H36*1000000000/'Read me'!$B$4)</f>
        <v>290335.151987529</v>
      </c>
      <c r="K36" s="14" t="n">
        <f aca="false">IF(H36="","",H36*1000/G36)</f>
        <v>88.6904761904762</v>
      </c>
      <c r="L36" s="11" t="str">
        <f aca="false">IF(G36&gt;'Read me'!$B$7,"Yes","No")</f>
        <v>Yes</v>
      </c>
      <c r="M36" s="11" t="str">
        <f aca="false">IF(H36="","Unknown",IF(J36&lt;='Read me'!$B$5,"Yes","No"))</f>
        <v>Yes</v>
      </c>
      <c r="N36" s="11" t="s">
        <v>153</v>
      </c>
    </row>
    <row r="37" customFormat="false" ht="15" hidden="false" customHeight="false" outlineLevel="0" collapsed="false">
      <c r="A37" s="11" t="n">
        <v>36</v>
      </c>
      <c r="B37" s="11" t="s">
        <v>62</v>
      </c>
      <c r="C37" s="11" t="s">
        <v>154</v>
      </c>
      <c r="D37" s="10" t="s">
        <v>64</v>
      </c>
      <c r="E37" s="11" t="s">
        <v>151</v>
      </c>
      <c r="F37" s="11" t="s">
        <v>155</v>
      </c>
      <c r="G37" s="11" t="n">
        <v>51.7</v>
      </c>
      <c r="H37" s="12" t="n">
        <v>6.25</v>
      </c>
      <c r="I37" s="11" t="s">
        <v>67</v>
      </c>
      <c r="J37" s="13" t="n">
        <f aca="false">IF(H37="","",H37*1000000000/'Read me'!$B$4)</f>
        <v>243569.7583788</v>
      </c>
      <c r="K37" s="14" t="n">
        <f aca="false">IF(H37="","",H37*1000/G37)</f>
        <v>120.889748549323</v>
      </c>
      <c r="L37" s="11" t="str">
        <f aca="false">IF(G37&gt;'Read me'!$B$7,"Yes","No")</f>
        <v>Yes</v>
      </c>
      <c r="M37" s="11" t="str">
        <f aca="false">IF(H37="","Unknown",IF(J37&lt;='Read me'!$B$5,"Yes","No"))</f>
        <v>Yes</v>
      </c>
      <c r="N37" s="11" t="s">
        <v>156</v>
      </c>
    </row>
    <row r="38" customFormat="false" ht="15" hidden="false" customHeight="false" outlineLevel="0" collapsed="false">
      <c r="A38" s="11" t="n">
        <v>37</v>
      </c>
      <c r="B38" s="11" t="s">
        <v>62</v>
      </c>
      <c r="C38" s="11" t="s">
        <v>157</v>
      </c>
      <c r="D38" s="10" t="s">
        <v>64</v>
      </c>
      <c r="E38" s="11" t="s">
        <v>151</v>
      </c>
      <c r="F38" s="11" t="s">
        <v>155</v>
      </c>
      <c r="G38" s="11" t="n">
        <v>51</v>
      </c>
      <c r="H38" s="12" t="n">
        <v>6.25</v>
      </c>
      <c r="I38" s="11" t="s">
        <v>92</v>
      </c>
      <c r="J38" s="13" t="n">
        <f aca="false">IF(H38="","",H38*1000000000/'Read me'!$B$4)</f>
        <v>243569.7583788</v>
      </c>
      <c r="K38" s="14" t="n">
        <f aca="false">IF(H38="","",H38*1000/G38)</f>
        <v>122.549019607843</v>
      </c>
      <c r="L38" s="11" t="str">
        <f aca="false">IF(G38&gt;'Read me'!$B$7,"Yes","No")</f>
        <v>Yes</v>
      </c>
      <c r="M38" s="11" t="str">
        <f aca="false">IF(H38="","Unknown",IF(J38&lt;='Read me'!$B$5,"Yes","No"))</f>
        <v>Yes</v>
      </c>
      <c r="N38" s="11" t="s">
        <v>158</v>
      </c>
    </row>
    <row r="39" customFormat="false" ht="15" hidden="false" customHeight="false" outlineLevel="0" collapsed="false">
      <c r="A39" s="11" t="n">
        <v>38</v>
      </c>
      <c r="B39" s="11" t="s">
        <v>62</v>
      </c>
      <c r="C39" s="11" t="s">
        <v>159</v>
      </c>
      <c r="D39" s="10" t="s">
        <v>64</v>
      </c>
      <c r="E39" s="11" t="s">
        <v>151</v>
      </c>
      <c r="F39" s="11" t="s">
        <v>160</v>
      </c>
      <c r="G39" s="11" t="n">
        <v>89.4</v>
      </c>
      <c r="H39" s="12" t="n">
        <v>7.28</v>
      </c>
      <c r="I39" s="11" t="s">
        <v>74</v>
      </c>
      <c r="J39" s="13" t="n">
        <f aca="false">IF(H39="","",H39*1000000000/'Read me'!$B$4)</f>
        <v>283710.054559626</v>
      </c>
      <c r="K39" s="14" t="n">
        <f aca="false">IF(H39="","",H39*1000/G39)</f>
        <v>81.4317673378076</v>
      </c>
      <c r="L39" s="11" t="str">
        <f aca="false">IF(G39&gt;'Read me'!$B$7,"Yes","No")</f>
        <v>Yes</v>
      </c>
      <c r="M39" s="11" t="str">
        <f aca="false">IF(H39="","Unknown",IF(J39&lt;='Read me'!$B$5,"Yes","No"))</f>
        <v>Yes</v>
      </c>
      <c r="N39" s="11" t="s">
        <v>161</v>
      </c>
    </row>
    <row r="40" customFormat="false" ht="15" hidden="false" customHeight="false" outlineLevel="0" collapsed="false">
      <c r="A40" s="11" t="n">
        <v>39</v>
      </c>
      <c r="B40" s="11" t="s">
        <v>62</v>
      </c>
      <c r="C40" s="11" t="s">
        <v>162</v>
      </c>
      <c r="D40" s="10" t="s">
        <v>64</v>
      </c>
      <c r="E40" s="11" t="s">
        <v>151</v>
      </c>
      <c r="F40" s="11" t="s">
        <v>163</v>
      </c>
      <c r="G40" s="11" t="n">
        <v>60</v>
      </c>
      <c r="H40" s="12" t="n">
        <v>9.2</v>
      </c>
      <c r="I40" s="11" t="s">
        <v>90</v>
      </c>
      <c r="J40" s="13" t="n">
        <f aca="false">IF(H40="","",H40*1000000000/'Read me'!$B$4)</f>
        <v>358534.684333593</v>
      </c>
      <c r="K40" s="14" t="n">
        <f aca="false">IF(H40="","",H40*1000/G40)</f>
        <v>153.333333333333</v>
      </c>
      <c r="L40" s="11" t="str">
        <f aca="false">IF(G40&gt;'Read me'!$B$7,"Yes","No")</f>
        <v>Yes</v>
      </c>
      <c r="M40" s="11" t="str">
        <f aca="false">IF(H40="","Unknown",IF(J40&lt;='Read me'!$B$5,"Yes","No"))</f>
        <v>No</v>
      </c>
      <c r="N40" s="11" t="s">
        <v>68</v>
      </c>
    </row>
    <row r="41" customFormat="false" ht="15" hidden="false" customHeight="false" outlineLevel="0" collapsed="false">
      <c r="A41" s="11" t="n">
        <v>40</v>
      </c>
      <c r="B41" s="11" t="s">
        <v>62</v>
      </c>
      <c r="C41" s="11" t="s">
        <v>164</v>
      </c>
      <c r="D41" s="10" t="s">
        <v>64</v>
      </c>
      <c r="E41" s="11" t="s">
        <v>151</v>
      </c>
      <c r="F41" s="11" t="s">
        <v>165</v>
      </c>
      <c r="G41" s="11" t="n">
        <v>64</v>
      </c>
      <c r="H41" s="12" t="n">
        <v>12</v>
      </c>
      <c r="I41" s="11" t="s">
        <v>74</v>
      </c>
      <c r="J41" s="13" t="n">
        <f aca="false">IF(H41="","",H41*1000000000/'Read me'!$B$4)</f>
        <v>467653.936087295</v>
      </c>
      <c r="K41" s="14" t="n">
        <f aca="false">IF(H41="","",H41*1000/G41)</f>
        <v>187.5</v>
      </c>
      <c r="L41" s="11" t="str">
        <f aca="false">IF(G41&gt;'Read me'!$B$7,"Yes","No")</f>
        <v>Yes</v>
      </c>
      <c r="M41" s="11" t="str">
        <f aca="false">IF(H41="","Unknown",IF(J41&lt;='Read me'!$B$5,"Yes","No"))</f>
        <v>No</v>
      </c>
      <c r="N41" s="11" t="s">
        <v>68</v>
      </c>
    </row>
    <row r="42" customFormat="false" ht="15" hidden="false" customHeight="false" outlineLevel="0" collapsed="false">
      <c r="A42" s="11" t="n">
        <v>41</v>
      </c>
      <c r="B42" s="11" t="s">
        <v>62</v>
      </c>
      <c r="C42" s="11" t="s">
        <v>166</v>
      </c>
      <c r="D42" s="10" t="s">
        <v>64</v>
      </c>
      <c r="E42" s="11" t="s">
        <v>151</v>
      </c>
      <c r="F42" s="11" t="s">
        <v>152</v>
      </c>
      <c r="G42" s="11" t="n">
        <v>42</v>
      </c>
      <c r="H42" s="12" t="n">
        <v>7</v>
      </c>
      <c r="I42" s="11" t="s">
        <v>92</v>
      </c>
      <c r="J42" s="13" t="n">
        <f aca="false">IF(H42="","",H42*1000000000/'Read me'!$B$4)</f>
        <v>272798.129384256</v>
      </c>
      <c r="K42" s="14" t="n">
        <f aca="false">IF(H42="","",H42*1000/G42)</f>
        <v>166.666666666667</v>
      </c>
      <c r="L42" s="11" t="str">
        <f aca="false">IF(G42&gt;'Read me'!$B$7,"Yes","No")</f>
        <v>No</v>
      </c>
      <c r="M42" s="11" t="str">
        <f aca="false">IF(H42="","Unknown",IF(J42&lt;='Read me'!$B$5,"Yes","No"))</f>
        <v>Yes</v>
      </c>
      <c r="N42" s="11" t="s">
        <v>75</v>
      </c>
    </row>
    <row r="43" customFormat="false" ht="26.85" hidden="false" customHeight="false" outlineLevel="0" collapsed="false">
      <c r="A43" s="11" t="n">
        <v>42</v>
      </c>
      <c r="B43" s="11" t="s">
        <v>135</v>
      </c>
      <c r="C43" s="11" t="s">
        <v>167</v>
      </c>
      <c r="D43" s="10" t="s">
        <v>64</v>
      </c>
      <c r="E43" s="11" t="s">
        <v>151</v>
      </c>
      <c r="F43" s="11" t="s">
        <v>168</v>
      </c>
      <c r="G43" s="11" t="n">
        <v>46</v>
      </c>
      <c r="H43" s="12" t="n">
        <v>7.6</v>
      </c>
      <c r="I43" s="11" t="s">
        <v>74</v>
      </c>
      <c r="J43" s="13" t="n">
        <f aca="false">IF(H43="","",H43*1000000000/'Read me'!$B$4)</f>
        <v>296180.82618862</v>
      </c>
      <c r="K43" s="14" t="n">
        <f aca="false">IF(H43="","",H43*1000/G43)</f>
        <v>165.217391304348</v>
      </c>
      <c r="L43" s="11" t="str">
        <f aca="false">IF(G43&gt;'Read me'!$B$7,"Yes","No")</f>
        <v>No</v>
      </c>
      <c r="M43" s="11" t="str">
        <f aca="false">IF(H43="","Unknown",IF(J43&lt;='Read me'!$B$5,"Yes","No"))</f>
        <v>Yes</v>
      </c>
      <c r="N43" s="11" t="s">
        <v>169</v>
      </c>
    </row>
    <row r="44" customFormat="false" ht="15" hidden="false" customHeight="false" outlineLevel="0" collapsed="false">
      <c r="A44" s="11" t="n">
        <v>43</v>
      </c>
      <c r="B44" s="11" t="s">
        <v>98</v>
      </c>
      <c r="C44" s="11" t="s">
        <v>170</v>
      </c>
      <c r="D44" s="10" t="s">
        <v>64</v>
      </c>
      <c r="E44" s="11" t="s">
        <v>171</v>
      </c>
      <c r="F44" s="11" t="s">
        <v>172</v>
      </c>
      <c r="G44" s="11" t="n">
        <v>63.7</v>
      </c>
      <c r="H44" s="12" t="n">
        <v>6.15</v>
      </c>
      <c r="I44" s="11" t="s">
        <v>67</v>
      </c>
      <c r="J44" s="13" t="n">
        <f aca="false">IF(H44="","",H44*1000000000/'Read me'!$B$4)</f>
        <v>239672.642244739</v>
      </c>
      <c r="K44" s="14" t="n">
        <f aca="false">IF(H44="","",H44*1000/G44)</f>
        <v>96.5463108320251</v>
      </c>
      <c r="L44" s="11" t="str">
        <f aca="false">IF(G44&gt;'Read me'!$B$7,"Yes","No")</f>
        <v>Yes</v>
      </c>
      <c r="M44" s="11" t="str">
        <f aca="false">IF(H44="","Unknown",IF(J44&lt;='Read me'!$B$5,"Yes","No"))</f>
        <v>Yes</v>
      </c>
      <c r="N44" s="11" t="s">
        <v>173</v>
      </c>
    </row>
  </sheetData>
  <autoFilter ref="A1:N44"/>
  <hyperlinks>
    <hyperlink ref="D2" r:id="rId1" display="Open ad"/>
    <hyperlink ref="D3" r:id="rId2" display="Open ad"/>
    <hyperlink ref="D4" r:id="rId3" display="Open ad"/>
    <hyperlink ref="D5" r:id="rId4" display="Open ad"/>
    <hyperlink ref="D6" r:id="rId5" display="Open ad"/>
    <hyperlink ref="D7" r:id="rId6" display="Open ad"/>
    <hyperlink ref="D8" r:id="rId7" display="Open ad"/>
    <hyperlink ref="D9" r:id="rId8" display="Open ad"/>
    <hyperlink ref="D10" r:id="rId9" display="Open ad"/>
    <hyperlink ref="D11" r:id="rId10" display="Open ad"/>
    <hyperlink ref="D12" r:id="rId11" display="Open ad"/>
    <hyperlink ref="D13" r:id="rId12" display="Open ad"/>
    <hyperlink ref="D14" r:id="rId13" display="Open ad"/>
    <hyperlink ref="D15" r:id="rId14" display="Open ad"/>
    <hyperlink ref="D16" r:id="rId15" display="Open ad"/>
    <hyperlink ref="D17" r:id="rId16" display="Open ad"/>
    <hyperlink ref="D18" r:id="rId17" display="Open ad"/>
    <hyperlink ref="D19" r:id="rId18" display="Open ad"/>
    <hyperlink ref="D20" r:id="rId19" display="Open ad"/>
    <hyperlink ref="D21" r:id="rId20" display="Open ad"/>
    <hyperlink ref="D22" r:id="rId21" display="Open ad"/>
    <hyperlink ref="D23" r:id="rId22" display="Open ad"/>
    <hyperlink ref="D24" r:id="rId23" display="Open ad"/>
    <hyperlink ref="D25" r:id="rId24" display="Open ad"/>
    <hyperlink ref="D26" r:id="rId25" display="Open ad"/>
    <hyperlink ref="D27" r:id="rId26" display="Open ad"/>
    <hyperlink ref="D28" r:id="rId27" display="Open ad"/>
    <hyperlink ref="D29" r:id="rId28" display="Open ad"/>
    <hyperlink ref="D30" r:id="rId29" display="Open ad"/>
    <hyperlink ref="D31" r:id="rId30" display="Open ad"/>
    <hyperlink ref="D32" r:id="rId31" display="Open ad"/>
    <hyperlink ref="D33" r:id="rId32" display="Open ad"/>
    <hyperlink ref="D34" r:id="rId33" display="Open ad"/>
    <hyperlink ref="D35" r:id="rId34" display="Open ad"/>
    <hyperlink ref="D36" r:id="rId35" display="Open ad"/>
    <hyperlink ref="D37" r:id="rId36" display="Open ad"/>
    <hyperlink ref="D38" r:id="rId37" display="Open ad"/>
    <hyperlink ref="D39" r:id="rId38" display="Open ad"/>
    <hyperlink ref="D40" r:id="rId39" display="Open ad"/>
    <hyperlink ref="D41" r:id="rId40" display="Open ad"/>
    <hyperlink ref="D42" r:id="rId41" display="Open ad"/>
    <hyperlink ref="D43" r:id="rId42" display="Open ad"/>
    <hyperlink ref="D44" r:id="rId43" display="Open a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6" min="14" style="0" width="26"/>
    <col collapsed="false" customWidth="true" hidden="false" outlineLevel="0" max="17" min="17" style="0" width="28"/>
    <col collapsed="false" customWidth="true" hidden="false" outlineLevel="0" max="18" min="18" style="0" width="34"/>
    <col collapsed="false" customWidth="true" hidden="false" outlineLevel="0" max="19" min="19" style="0" width="36"/>
    <col collapsed="false" customWidth="true" hidden="false" outlineLevel="0" max="20" min="20" style="0" width="7"/>
    <col collapsed="false" customWidth="true" hidden="false" outlineLevel="0" max="21" min="21" style="0" width="8"/>
    <col collapsed="false" customWidth="true" hidden="false" outlineLevel="0" max="22" min="22" style="0" width="7"/>
    <col collapsed="false" customWidth="true" hidden="false" outlineLevel="0" max="23" min="23" style="0" width="9"/>
    <col collapsed="false" customWidth="true" hidden="false" outlineLevel="0" max="25" min="24" style="0" width="7"/>
    <col collapsed="false" customWidth="true" hidden="false" outlineLevel="0" max="26" min="26" style="0" width="9"/>
    <col collapsed="false" customWidth="true" hidden="false" outlineLevel="0" max="27" min="27" style="0" width="16"/>
  </cols>
  <sheetData>
    <row r="1" customFormat="false" ht="52.2" hidden="false" customHeight="false" outlineLevel="0" collapsed="false">
      <c r="A1" s="8" t="s">
        <v>174</v>
      </c>
      <c r="B1" s="8" t="s">
        <v>52</v>
      </c>
      <c r="C1" s="8" t="s">
        <v>175</v>
      </c>
      <c r="D1" s="8" t="s">
        <v>176</v>
      </c>
      <c r="E1" s="8" t="s">
        <v>54</v>
      </c>
      <c r="F1" s="8" t="s">
        <v>177</v>
      </c>
      <c r="G1" s="8" t="s">
        <v>178</v>
      </c>
      <c r="H1" s="8" t="s">
        <v>179</v>
      </c>
      <c r="I1" s="8" t="s">
        <v>180</v>
      </c>
      <c r="J1" s="8" t="s">
        <v>56</v>
      </c>
      <c r="K1" s="8" t="s">
        <v>181</v>
      </c>
      <c r="L1" s="8" t="s">
        <v>57</v>
      </c>
      <c r="M1" s="8" t="s">
        <v>182</v>
      </c>
      <c r="N1" s="8" t="s">
        <v>183</v>
      </c>
      <c r="O1" s="8" t="s">
        <v>184</v>
      </c>
      <c r="P1" s="8" t="s">
        <v>185</v>
      </c>
      <c r="Q1" s="8" t="s">
        <v>186</v>
      </c>
      <c r="R1" s="8" t="s">
        <v>187</v>
      </c>
      <c r="S1" s="8" t="s">
        <v>188</v>
      </c>
      <c r="T1" s="8" t="s">
        <v>189</v>
      </c>
      <c r="U1" s="8" t="s">
        <v>190</v>
      </c>
      <c r="V1" s="8" t="s">
        <v>191</v>
      </c>
      <c r="W1" s="8" t="s">
        <v>192</v>
      </c>
      <c r="X1" s="8" t="s">
        <v>193</v>
      </c>
      <c r="Y1" s="8" t="s">
        <v>194</v>
      </c>
      <c r="Z1" s="8" t="s">
        <v>60</v>
      </c>
      <c r="AA1" s="8" t="s">
        <v>195</v>
      </c>
    </row>
    <row r="2" customFormat="false" ht="52.2" hidden="false" customHeight="false" outlineLevel="0" collapsed="false">
      <c r="A2" s="15" t="s">
        <v>196</v>
      </c>
      <c r="B2" s="15" t="s">
        <v>65</v>
      </c>
      <c r="C2" s="15" t="s">
        <v>197</v>
      </c>
      <c r="D2" s="16" t="s">
        <v>64</v>
      </c>
      <c r="E2" s="15" t="n">
        <v>56</v>
      </c>
      <c r="F2" s="15" t="s">
        <v>198</v>
      </c>
      <c r="G2" s="15" t="s">
        <v>199</v>
      </c>
      <c r="H2" s="15" t="s">
        <v>200</v>
      </c>
      <c r="I2" s="15" t="s">
        <v>201</v>
      </c>
      <c r="J2" s="15" t="s">
        <v>67</v>
      </c>
      <c r="K2" s="17" t="n">
        <v>7.5</v>
      </c>
      <c r="L2" s="18" t="n">
        <f aca="false">K2*1000000000/'Read me'!$B$4</f>
        <v>292283.71005456</v>
      </c>
      <c r="M2" s="19" t="n">
        <f aca="false">K2*1000/E2</f>
        <v>133.928571428571</v>
      </c>
      <c r="N2" s="15" t="s">
        <v>202</v>
      </c>
      <c r="O2" s="15" t="s">
        <v>203</v>
      </c>
      <c r="P2" s="15" t="s">
        <v>204</v>
      </c>
      <c r="Q2" s="15" t="s">
        <v>205</v>
      </c>
      <c r="R2" s="15" t="s">
        <v>206</v>
      </c>
      <c r="S2" s="15" t="s">
        <v>207</v>
      </c>
      <c r="T2" s="17" t="n">
        <v>4</v>
      </c>
      <c r="U2" s="17" t="n">
        <v>4</v>
      </c>
      <c r="V2" s="17" t="n">
        <v>4</v>
      </c>
      <c r="W2" s="17" t="n">
        <v>4</v>
      </c>
      <c r="X2" s="20" t="n">
        <f aca="false">T2+U2+V2+2*W2</f>
        <v>20</v>
      </c>
      <c r="Y2" s="15" t="n">
        <f aca="false">RANK(X2,$X$2:$X$13)</f>
        <v>3</v>
      </c>
      <c r="Z2" s="15" t="str">
        <f aca="false">IF(L2&lt;='Read me'!$B$5,"Yes","No")</f>
        <v>Yes</v>
      </c>
      <c r="AA2" s="15" t="s">
        <v>208</v>
      </c>
    </row>
    <row r="3" customFormat="false" ht="52.2" hidden="false" customHeight="false" outlineLevel="0" collapsed="false">
      <c r="A3" s="11" t="s">
        <v>209</v>
      </c>
      <c r="B3" s="11" t="s">
        <v>65</v>
      </c>
      <c r="C3" s="11" t="s">
        <v>210</v>
      </c>
      <c r="D3" s="10" t="s">
        <v>64</v>
      </c>
      <c r="E3" s="11" t="n">
        <v>51.5</v>
      </c>
      <c r="F3" s="11" t="s">
        <v>211</v>
      </c>
      <c r="G3" s="11" t="s">
        <v>212</v>
      </c>
      <c r="H3" s="11" t="s">
        <v>213</v>
      </c>
      <c r="I3" s="11" t="s">
        <v>214</v>
      </c>
      <c r="J3" s="11" t="s">
        <v>92</v>
      </c>
      <c r="K3" s="21" t="n">
        <v>7.8</v>
      </c>
      <c r="L3" s="13" t="n">
        <f aca="false">K3*1000000000/'Read me'!$B$4</f>
        <v>303975.058456742</v>
      </c>
      <c r="M3" s="14" t="n">
        <f aca="false">K3*1000/E3</f>
        <v>151.456310679612</v>
      </c>
      <c r="N3" s="11" t="s">
        <v>215</v>
      </c>
      <c r="O3" s="11" t="s">
        <v>216</v>
      </c>
      <c r="P3" s="11" t="s">
        <v>217</v>
      </c>
      <c r="Q3" s="11" t="s">
        <v>218</v>
      </c>
      <c r="R3" s="11" t="s">
        <v>219</v>
      </c>
      <c r="S3" s="11" t="s">
        <v>220</v>
      </c>
      <c r="T3" s="21" t="n">
        <v>4</v>
      </c>
      <c r="U3" s="21" t="n">
        <v>5</v>
      </c>
      <c r="V3" s="21" t="n">
        <v>4</v>
      </c>
      <c r="W3" s="21" t="n">
        <v>4</v>
      </c>
      <c r="X3" s="9" t="n">
        <f aca="false">T3+U3+V3+2*W3</f>
        <v>21</v>
      </c>
      <c r="Y3" s="11" t="n">
        <f aca="false">RANK(X3,$X$2:$X$13)</f>
        <v>1</v>
      </c>
      <c r="Z3" s="11" t="str">
        <f aca="false">IF(L3&lt;='Read me'!$B$5,"Yes","No")</f>
        <v>No</v>
      </c>
      <c r="AA3" s="11" t="s">
        <v>221</v>
      </c>
    </row>
    <row r="4" customFormat="false" ht="64.9" hidden="false" customHeight="false" outlineLevel="0" collapsed="false">
      <c r="A4" s="11" t="s">
        <v>222</v>
      </c>
      <c r="B4" s="11" t="s">
        <v>128</v>
      </c>
      <c r="C4" s="11" t="s">
        <v>223</v>
      </c>
      <c r="D4" s="10" t="s">
        <v>64</v>
      </c>
      <c r="E4" s="11" t="n">
        <v>60.7</v>
      </c>
      <c r="F4" s="11" t="s">
        <v>224</v>
      </c>
      <c r="G4" s="11" t="s">
        <v>212</v>
      </c>
      <c r="H4" s="11" t="s">
        <v>225</v>
      </c>
      <c r="I4" s="11" t="s">
        <v>226</v>
      </c>
      <c r="J4" s="11" t="s">
        <v>90</v>
      </c>
      <c r="K4" s="21" t="n">
        <v>6.95</v>
      </c>
      <c r="L4" s="13" t="n">
        <f aca="false">K4*1000000000/'Read me'!$B$4</f>
        <v>270849.571317225</v>
      </c>
      <c r="M4" s="14" t="n">
        <f aca="false">K4*1000/E4</f>
        <v>114.497528830313</v>
      </c>
      <c r="N4" s="11" t="s">
        <v>227</v>
      </c>
      <c r="O4" s="11" t="s">
        <v>228</v>
      </c>
      <c r="P4" s="11" t="s">
        <v>229</v>
      </c>
      <c r="Q4" s="11" t="s">
        <v>230</v>
      </c>
      <c r="R4" s="11" t="s">
        <v>231</v>
      </c>
      <c r="S4" s="11" t="s">
        <v>232</v>
      </c>
      <c r="T4" s="21" t="n">
        <v>4</v>
      </c>
      <c r="U4" s="21" t="n">
        <v>4</v>
      </c>
      <c r="V4" s="21" t="n">
        <v>5</v>
      </c>
      <c r="W4" s="21" t="n">
        <v>4</v>
      </c>
      <c r="X4" s="9" t="n">
        <f aca="false">T4+U4+V4+2*W4</f>
        <v>21</v>
      </c>
      <c r="Y4" s="11" t="n">
        <f aca="false">RANK(X4,$X$2:$X$13)</f>
        <v>1</v>
      </c>
      <c r="Z4" s="11" t="str">
        <f aca="false">IF(L4&lt;='Read me'!$B$5,"Yes","No")</f>
        <v>Yes</v>
      </c>
      <c r="AA4" s="11" t="s">
        <v>233</v>
      </c>
    </row>
    <row r="5" customFormat="false" ht="39.55" hidden="false" customHeight="false" outlineLevel="0" collapsed="false">
      <c r="A5" s="11" t="s">
        <v>234</v>
      </c>
      <c r="B5" s="11" t="s">
        <v>128</v>
      </c>
      <c r="C5" s="11" t="s">
        <v>235</v>
      </c>
      <c r="D5" s="10" t="s">
        <v>64</v>
      </c>
      <c r="E5" s="11" t="n">
        <v>54</v>
      </c>
      <c r="F5" s="11" t="s">
        <v>236</v>
      </c>
      <c r="G5" s="11" t="s">
        <v>237</v>
      </c>
      <c r="H5" s="11" t="s">
        <v>238</v>
      </c>
      <c r="I5" s="11" t="s">
        <v>239</v>
      </c>
      <c r="J5" s="11" t="s">
        <v>130</v>
      </c>
      <c r="K5" s="21" t="n">
        <v>6.89</v>
      </c>
      <c r="L5" s="13" t="n">
        <f aca="false">K5*1000000000/'Read me'!$B$4</f>
        <v>268511.301636789</v>
      </c>
      <c r="M5" s="14" t="n">
        <f aca="false">K5*1000/E5</f>
        <v>127.592592592593</v>
      </c>
      <c r="N5" s="11" t="s">
        <v>240</v>
      </c>
      <c r="O5" s="11" t="s">
        <v>241</v>
      </c>
      <c r="P5" s="11" t="s">
        <v>242</v>
      </c>
      <c r="Q5" s="11" t="s">
        <v>243</v>
      </c>
      <c r="R5" s="11" t="s">
        <v>244</v>
      </c>
      <c r="S5" s="11" t="s">
        <v>245</v>
      </c>
      <c r="T5" s="21" t="n">
        <v>4</v>
      </c>
      <c r="U5" s="21" t="n">
        <v>4</v>
      </c>
      <c r="V5" s="21" t="n">
        <v>4</v>
      </c>
      <c r="W5" s="21" t="n">
        <v>3</v>
      </c>
      <c r="X5" s="9" t="n">
        <f aca="false">T5+U5+V5+2*W5</f>
        <v>18</v>
      </c>
      <c r="Y5" s="11" t="n">
        <f aca="false">RANK(X5,$X$2:$X$13)</f>
        <v>4</v>
      </c>
      <c r="Z5" s="11" t="str">
        <f aca="false">IF(L5&lt;='Read me'!$B$5,"Yes","No")</f>
        <v>Yes</v>
      </c>
      <c r="AA5" s="11" t="s">
        <v>246</v>
      </c>
    </row>
    <row r="6" customFormat="false" ht="39.55" hidden="false" customHeight="false" outlineLevel="0" collapsed="false">
      <c r="A6" s="11" t="s">
        <v>247</v>
      </c>
      <c r="B6" s="11" t="s">
        <v>171</v>
      </c>
      <c r="C6" s="11" t="s">
        <v>248</v>
      </c>
      <c r="D6" s="10" t="s">
        <v>64</v>
      </c>
      <c r="E6" s="11" t="n">
        <v>63.7</v>
      </c>
      <c r="F6" s="11" t="s">
        <v>249</v>
      </c>
      <c r="G6" s="11" t="s">
        <v>250</v>
      </c>
      <c r="H6" s="11" t="s">
        <v>251</v>
      </c>
      <c r="I6" s="11" t="s">
        <v>252</v>
      </c>
      <c r="J6" s="11" t="s">
        <v>67</v>
      </c>
      <c r="K6" s="21" t="n">
        <v>6.15</v>
      </c>
      <c r="L6" s="13" t="n">
        <f aca="false">K6*1000000000/'Read me'!$B$4</f>
        <v>239672.642244739</v>
      </c>
      <c r="M6" s="14" t="n">
        <f aca="false">K6*1000/E6</f>
        <v>96.5463108320251</v>
      </c>
      <c r="N6" s="11" t="s">
        <v>253</v>
      </c>
      <c r="O6" s="11" t="s">
        <v>254</v>
      </c>
      <c r="P6" s="11" t="s">
        <v>255</v>
      </c>
      <c r="Q6" s="11" t="s">
        <v>256</v>
      </c>
      <c r="R6" s="11" t="s">
        <v>257</v>
      </c>
      <c r="S6" s="11" t="s">
        <v>258</v>
      </c>
      <c r="T6" s="21" t="n">
        <v>4</v>
      </c>
      <c r="U6" s="21" t="n">
        <v>5</v>
      </c>
      <c r="V6" s="21" t="n">
        <v>5</v>
      </c>
      <c r="W6" s="21" t="n">
        <v>2</v>
      </c>
      <c r="X6" s="9" t="n">
        <f aca="false">T6+U6+V6+2*W6</f>
        <v>18</v>
      </c>
      <c r="Y6" s="11" t="n">
        <f aca="false">RANK(X6,$X$2:$X$13)</f>
        <v>4</v>
      </c>
      <c r="Z6" s="11" t="str">
        <f aca="false">IF(L6&lt;='Read me'!$B$5,"Yes","No")</f>
        <v>Yes</v>
      </c>
      <c r="AA6" s="11" t="s">
        <v>259</v>
      </c>
    </row>
    <row r="7" customFormat="false" ht="39.55" hidden="false" customHeight="false" outlineLevel="0" collapsed="false">
      <c r="A7" s="11" t="s">
        <v>260</v>
      </c>
      <c r="B7" s="11" t="s">
        <v>151</v>
      </c>
      <c r="C7" s="11" t="s">
        <v>261</v>
      </c>
      <c r="D7" s="10" t="s">
        <v>64</v>
      </c>
      <c r="E7" s="11" t="n">
        <v>51.7</v>
      </c>
      <c r="F7" s="11" t="s">
        <v>262</v>
      </c>
      <c r="G7" s="11" t="s">
        <v>263</v>
      </c>
      <c r="H7" s="11" t="s">
        <v>264</v>
      </c>
      <c r="I7" s="11" t="s">
        <v>265</v>
      </c>
      <c r="J7" s="11" t="s">
        <v>67</v>
      </c>
      <c r="K7" s="21" t="n">
        <v>6.25</v>
      </c>
      <c r="L7" s="13" t="n">
        <f aca="false">K7*1000000000/'Read me'!$B$4</f>
        <v>243569.7583788</v>
      </c>
      <c r="M7" s="14" t="n">
        <f aca="false">K7*1000/E7</f>
        <v>120.889748549323</v>
      </c>
      <c r="N7" s="11" t="s">
        <v>266</v>
      </c>
      <c r="O7" s="11" t="s">
        <v>267</v>
      </c>
      <c r="P7" s="11" t="s">
        <v>268</v>
      </c>
      <c r="Q7" s="11" t="s">
        <v>269</v>
      </c>
      <c r="R7" s="11" t="s">
        <v>270</v>
      </c>
      <c r="S7" s="11" t="s">
        <v>271</v>
      </c>
      <c r="T7" s="21" t="n">
        <v>4</v>
      </c>
      <c r="U7" s="21" t="n">
        <v>4</v>
      </c>
      <c r="V7" s="21" t="n">
        <v>3</v>
      </c>
      <c r="W7" s="21" t="n">
        <v>3</v>
      </c>
      <c r="X7" s="9" t="n">
        <f aca="false">T7+U7+V7+2*W7</f>
        <v>17</v>
      </c>
      <c r="Y7" s="11" t="n">
        <f aca="false">RANK(X7,$X$2:$X$13)</f>
        <v>6</v>
      </c>
      <c r="Z7" s="11" t="str">
        <f aca="false">IF(L7&lt;='Read me'!$B$5,"Yes","No")</f>
        <v>Yes</v>
      </c>
      <c r="AA7" s="11" t="s">
        <v>272</v>
      </c>
    </row>
    <row r="8" customFormat="false" ht="39.55" hidden="false" customHeight="false" outlineLevel="0" collapsed="false">
      <c r="A8" s="11" t="s">
        <v>273</v>
      </c>
      <c r="B8" s="11" t="s">
        <v>151</v>
      </c>
      <c r="C8" s="11" t="s">
        <v>274</v>
      </c>
      <c r="D8" s="10" t="s">
        <v>64</v>
      </c>
      <c r="E8" s="11" t="n">
        <v>84</v>
      </c>
      <c r="F8" s="11" t="s">
        <v>275</v>
      </c>
      <c r="G8" s="11" t="s">
        <v>276</v>
      </c>
      <c r="H8" s="11" t="s">
        <v>277</v>
      </c>
      <c r="I8" s="11" t="s">
        <v>278</v>
      </c>
      <c r="J8" s="11" t="s">
        <v>74</v>
      </c>
      <c r="K8" s="21" t="n">
        <v>7.45</v>
      </c>
      <c r="L8" s="13" t="n">
        <f aca="false">K8*1000000000/'Read me'!$B$4</f>
        <v>290335.151987529</v>
      </c>
      <c r="M8" s="14" t="n">
        <f aca="false">K8*1000/E8</f>
        <v>88.6904761904762</v>
      </c>
      <c r="N8" s="11" t="s">
        <v>279</v>
      </c>
      <c r="O8" s="11" t="s">
        <v>280</v>
      </c>
      <c r="P8" s="11" t="s">
        <v>281</v>
      </c>
      <c r="Q8" s="11" t="s">
        <v>282</v>
      </c>
      <c r="R8" s="11" t="s">
        <v>283</v>
      </c>
      <c r="S8" s="11" t="s">
        <v>284</v>
      </c>
      <c r="T8" s="21" t="n">
        <v>4</v>
      </c>
      <c r="U8" s="21" t="n">
        <v>4</v>
      </c>
      <c r="V8" s="21" t="n">
        <v>4</v>
      </c>
      <c r="W8" s="21" t="n">
        <v>2</v>
      </c>
      <c r="X8" s="9" t="n">
        <f aca="false">T8+U8+V8+2*W8</f>
        <v>16</v>
      </c>
      <c r="Y8" s="11" t="n">
        <f aca="false">RANK(X8,$X$2:$X$13)</f>
        <v>7</v>
      </c>
      <c r="Z8" s="11" t="str">
        <f aca="false">IF(L8&lt;='Read me'!$B$5,"Yes","No")</f>
        <v>Yes</v>
      </c>
      <c r="AA8" s="11" t="s">
        <v>285</v>
      </c>
    </row>
    <row r="9" customFormat="false" ht="39.55" hidden="false" customHeight="false" outlineLevel="0" collapsed="false">
      <c r="A9" s="11" t="s">
        <v>286</v>
      </c>
      <c r="B9" s="11" t="s">
        <v>128</v>
      </c>
      <c r="C9" s="11" t="s">
        <v>287</v>
      </c>
      <c r="D9" s="10" t="s">
        <v>64</v>
      </c>
      <c r="E9" s="11" t="n">
        <v>60</v>
      </c>
      <c r="F9" s="11" t="s">
        <v>288</v>
      </c>
      <c r="G9" s="11" t="s">
        <v>250</v>
      </c>
      <c r="H9" s="11" t="s">
        <v>289</v>
      </c>
      <c r="I9" s="11" t="s">
        <v>290</v>
      </c>
      <c r="J9" s="11" t="s">
        <v>67</v>
      </c>
      <c r="K9" s="21" t="n">
        <v>7.6</v>
      </c>
      <c r="L9" s="13" t="n">
        <f aca="false">K9*1000000000/'Read me'!$B$4</f>
        <v>296180.82618862</v>
      </c>
      <c r="M9" s="14" t="n">
        <f aca="false">K9*1000/E9</f>
        <v>126.666666666667</v>
      </c>
      <c r="N9" s="11" t="s">
        <v>291</v>
      </c>
      <c r="O9" s="11" t="s">
        <v>292</v>
      </c>
      <c r="P9" s="11" t="s">
        <v>293</v>
      </c>
      <c r="Q9" s="11" t="s">
        <v>294</v>
      </c>
      <c r="R9" s="11" t="s">
        <v>295</v>
      </c>
      <c r="S9" s="11" t="s">
        <v>296</v>
      </c>
      <c r="T9" s="21" t="n">
        <v>4</v>
      </c>
      <c r="U9" s="21" t="n">
        <v>4</v>
      </c>
      <c r="V9" s="21" t="n">
        <v>3</v>
      </c>
      <c r="W9" s="21" t="n">
        <v>2</v>
      </c>
      <c r="X9" s="9" t="n">
        <f aca="false">T9+U9+V9+2*W9</f>
        <v>15</v>
      </c>
      <c r="Y9" s="11" t="n">
        <f aca="false">RANK(X9,$X$2:$X$13)</f>
        <v>8</v>
      </c>
      <c r="Z9" s="11" t="str">
        <f aca="false">IF(L9&lt;='Read me'!$B$5,"Yes","No")</f>
        <v>Yes</v>
      </c>
      <c r="AA9" s="11" t="s">
        <v>297</v>
      </c>
    </row>
    <row r="10" customFormat="false" ht="39.55" hidden="false" customHeight="false" outlineLevel="0" collapsed="false">
      <c r="A10" s="11" t="s">
        <v>298</v>
      </c>
      <c r="B10" s="11" t="s">
        <v>65</v>
      </c>
      <c r="C10" s="11" t="s">
        <v>299</v>
      </c>
      <c r="D10" s="10" t="s">
        <v>64</v>
      </c>
      <c r="E10" s="11" t="n">
        <v>58</v>
      </c>
      <c r="F10" s="11" t="s">
        <v>236</v>
      </c>
      <c r="G10" s="11" t="s">
        <v>300</v>
      </c>
      <c r="H10" s="11" t="s">
        <v>301</v>
      </c>
      <c r="I10" s="11" t="s">
        <v>302</v>
      </c>
      <c r="J10" s="11" t="s">
        <v>81</v>
      </c>
      <c r="K10" s="21" t="n">
        <v>6.8</v>
      </c>
      <c r="L10" s="13" t="n">
        <f aca="false">K10*1000000000/'Read me'!$B$4</f>
        <v>265003.897116134</v>
      </c>
      <c r="M10" s="14" t="n">
        <f aca="false">K10*1000/E10</f>
        <v>117.241379310345</v>
      </c>
      <c r="N10" s="11" t="s">
        <v>303</v>
      </c>
      <c r="O10" s="11" t="s">
        <v>304</v>
      </c>
      <c r="P10" s="11" t="s">
        <v>305</v>
      </c>
      <c r="Q10" s="11" t="s">
        <v>306</v>
      </c>
      <c r="R10" s="11" t="s">
        <v>307</v>
      </c>
      <c r="S10" s="11" t="s">
        <v>308</v>
      </c>
      <c r="T10" s="21" t="n">
        <v>4</v>
      </c>
      <c r="U10" s="21" t="n">
        <v>4</v>
      </c>
      <c r="V10" s="21" t="n">
        <v>2</v>
      </c>
      <c r="W10" s="21" t="n">
        <v>2</v>
      </c>
      <c r="X10" s="9" t="n">
        <f aca="false">T10+U10+V10+2*W10</f>
        <v>14</v>
      </c>
      <c r="Y10" s="11" t="n">
        <f aca="false">RANK(X10,$X$2:$X$13)</f>
        <v>9</v>
      </c>
      <c r="Z10" s="11" t="str">
        <f aca="false">IF(L10&lt;='Read me'!$B$5,"Yes","No")</f>
        <v>Yes</v>
      </c>
      <c r="AA10" s="11" t="s">
        <v>309</v>
      </c>
    </row>
    <row r="11" customFormat="false" ht="52.2" hidden="false" customHeight="false" outlineLevel="0" collapsed="false">
      <c r="A11" s="11" t="s">
        <v>310</v>
      </c>
      <c r="B11" s="11" t="s">
        <v>65</v>
      </c>
      <c r="C11" s="11" t="s">
        <v>311</v>
      </c>
      <c r="D11" s="10" t="s">
        <v>64</v>
      </c>
      <c r="E11" s="11" t="n">
        <v>110</v>
      </c>
      <c r="F11" s="11" t="s">
        <v>312</v>
      </c>
      <c r="G11" s="11" t="s">
        <v>212</v>
      </c>
      <c r="H11" s="11" t="s">
        <v>313</v>
      </c>
      <c r="I11" s="11" t="s">
        <v>314</v>
      </c>
      <c r="J11" s="11" t="s">
        <v>86</v>
      </c>
      <c r="K11" s="21" t="n">
        <v>8</v>
      </c>
      <c r="L11" s="13" t="n">
        <f aca="false">K11*1000000000/'Read me'!$B$4</f>
        <v>311769.290724864</v>
      </c>
      <c r="M11" s="14" t="n">
        <f aca="false">K11*1000/E11</f>
        <v>72.7272727272727</v>
      </c>
      <c r="N11" s="11" t="s">
        <v>315</v>
      </c>
      <c r="O11" s="11" t="s">
        <v>316</v>
      </c>
      <c r="P11" s="11" t="s">
        <v>317</v>
      </c>
      <c r="Q11" s="11" t="s">
        <v>318</v>
      </c>
      <c r="R11" s="11" t="s">
        <v>319</v>
      </c>
      <c r="S11" s="11" t="s">
        <v>320</v>
      </c>
      <c r="T11" s="21" t="n">
        <v>4</v>
      </c>
      <c r="U11" s="21" t="n">
        <v>4</v>
      </c>
      <c r="V11" s="21" t="n">
        <v>2</v>
      </c>
      <c r="W11" s="21" t="n">
        <v>2</v>
      </c>
      <c r="X11" s="9" t="n">
        <f aca="false">T11+U11+V11+2*W11</f>
        <v>14</v>
      </c>
      <c r="Y11" s="11" t="n">
        <f aca="false">RANK(X11,$X$2:$X$13)</f>
        <v>9</v>
      </c>
      <c r="Z11" s="11" t="str">
        <f aca="false">IF(L11&lt;='Read me'!$B$5,"Yes","No")</f>
        <v>No</v>
      </c>
      <c r="AA11" s="11" t="s">
        <v>321</v>
      </c>
    </row>
    <row r="12" customFormat="false" ht="39.55" hidden="false" customHeight="false" outlineLevel="0" collapsed="false">
      <c r="A12" s="11" t="s">
        <v>322</v>
      </c>
      <c r="B12" s="11" t="s">
        <v>128</v>
      </c>
      <c r="C12" s="11" t="s">
        <v>323</v>
      </c>
      <c r="D12" s="10" t="s">
        <v>64</v>
      </c>
      <c r="E12" s="11" t="n">
        <v>70</v>
      </c>
      <c r="F12" s="11" t="s">
        <v>211</v>
      </c>
      <c r="G12" s="11" t="s">
        <v>324</v>
      </c>
      <c r="H12" s="11" t="s">
        <v>325</v>
      </c>
      <c r="I12" s="11" t="s">
        <v>326</v>
      </c>
      <c r="J12" s="11" t="s">
        <v>67</v>
      </c>
      <c r="K12" s="21" t="n">
        <v>6.6</v>
      </c>
      <c r="L12" s="13" t="n">
        <f aca="false">K12*1000000000/'Read me'!$B$4</f>
        <v>257209.664848012</v>
      </c>
      <c r="M12" s="14" t="n">
        <f aca="false">K12*1000/E12</f>
        <v>94.2857142857143</v>
      </c>
      <c r="N12" s="11" t="s">
        <v>327</v>
      </c>
      <c r="O12" s="11" t="s">
        <v>328</v>
      </c>
      <c r="P12" s="11" t="s">
        <v>329</v>
      </c>
      <c r="Q12" s="11" t="s">
        <v>330</v>
      </c>
      <c r="R12" s="11" t="s">
        <v>331</v>
      </c>
      <c r="S12" s="11" t="s">
        <v>332</v>
      </c>
      <c r="T12" s="21" t="n">
        <v>3</v>
      </c>
      <c r="U12" s="21" t="n">
        <v>3</v>
      </c>
      <c r="V12" s="21" t="n">
        <v>3</v>
      </c>
      <c r="W12" s="21" t="n">
        <v>2</v>
      </c>
      <c r="X12" s="9" t="n">
        <f aca="false">T12+U12+V12+2*W12</f>
        <v>13</v>
      </c>
      <c r="Y12" s="11" t="n">
        <f aca="false">RANK(X12,$X$2:$X$13)</f>
        <v>11</v>
      </c>
      <c r="Z12" s="11" t="str">
        <f aca="false">IF(L12&lt;='Read me'!$B$5,"Yes","No")</f>
        <v>Yes</v>
      </c>
      <c r="AA12" s="11" t="s">
        <v>333</v>
      </c>
    </row>
    <row r="13" customFormat="false" ht="39.55" hidden="false" customHeight="false" outlineLevel="0" collapsed="false">
      <c r="A13" s="22" t="s">
        <v>334</v>
      </c>
      <c r="B13" s="22" t="s">
        <v>65</v>
      </c>
      <c r="C13" s="22" t="s">
        <v>335</v>
      </c>
      <c r="D13" s="23" t="s">
        <v>64</v>
      </c>
      <c r="E13" s="22" t="n">
        <v>60</v>
      </c>
      <c r="F13" s="22" t="s">
        <v>211</v>
      </c>
      <c r="G13" s="22" t="s">
        <v>336</v>
      </c>
      <c r="H13" s="22" t="s">
        <v>337</v>
      </c>
      <c r="I13" s="22" t="s">
        <v>338</v>
      </c>
      <c r="J13" s="22" t="s">
        <v>90</v>
      </c>
      <c r="K13" s="24" t="n">
        <v>4.9</v>
      </c>
      <c r="L13" s="25" t="n">
        <f aca="false">K13*1000000000/'Read me'!$B$4</f>
        <v>190958.690568979</v>
      </c>
      <c r="M13" s="26" t="n">
        <f aca="false">K13*1000/E13</f>
        <v>81.6666666666667</v>
      </c>
      <c r="N13" s="22" t="s">
        <v>339</v>
      </c>
      <c r="O13" s="22" t="s">
        <v>340</v>
      </c>
      <c r="P13" s="22" t="s">
        <v>341</v>
      </c>
      <c r="Q13" s="22" t="s">
        <v>342</v>
      </c>
      <c r="R13" s="22" t="s">
        <v>343</v>
      </c>
      <c r="S13" s="22" t="s">
        <v>344</v>
      </c>
      <c r="T13" s="24" t="n">
        <v>4</v>
      </c>
      <c r="U13" s="24" t="n">
        <v>4</v>
      </c>
      <c r="V13" s="24" t="n">
        <v>1</v>
      </c>
      <c r="W13" s="24" t="n">
        <v>2</v>
      </c>
      <c r="X13" s="27" t="n">
        <f aca="false">T13+U13+V13+2*W13</f>
        <v>13</v>
      </c>
      <c r="Y13" s="22" t="n">
        <f aca="false">RANK(X13,$X$2:$X$13)</f>
        <v>11</v>
      </c>
      <c r="Z13" s="22" t="str">
        <f aca="false">IF(L13&lt;='Read me'!$B$5,"Yes","No")</f>
        <v>Yes</v>
      </c>
      <c r="AA13" s="22" t="s">
        <v>345</v>
      </c>
    </row>
    <row r="15" customFormat="false" ht="15" hidden="false" customHeight="false" outlineLevel="0" collapsed="false">
      <c r="A15" s="28" t="s">
        <v>346</v>
      </c>
    </row>
  </sheetData>
  <autoFilter ref="A1:AA13"/>
  <hyperlinks>
    <hyperlink ref="D2" r:id="rId2" display="Open ad"/>
    <hyperlink ref="D3" r:id="rId3" display="Open ad"/>
    <hyperlink ref="D4" r:id="rId4" display="Open ad"/>
    <hyperlink ref="D5" r:id="rId5" display="Open ad"/>
    <hyperlink ref="D6" r:id="rId6" display="Open ad"/>
    <hyperlink ref="D7" r:id="rId7" display="Open ad"/>
    <hyperlink ref="D8" r:id="rId8" display="Open ad"/>
    <hyperlink ref="D9" r:id="rId9" display="Open ad"/>
    <hyperlink ref="D10" r:id="rId10" display="Open ad"/>
    <hyperlink ref="D11" r:id="rId11" display="Open ad"/>
    <hyperlink ref="D12" r:id="rId12" display="Open ad"/>
    <hyperlink ref="D13" r:id="rId13" display="Open a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"/>
  <legacy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2026-10-28T07:36:09Z</dcterms:created>
  <dc:creator>openpyxl</dc:creator>
  <dc:description/>
  <dc:language>en-US</dc:language>
  <cp:lastModifiedBy/>
  <dcterms:modified xsi:type="dcterms:W3CDTF">2026-10-28T07:36:09Z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