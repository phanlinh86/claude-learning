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Websites" sheetId="2" state="visible" r:id="rId4"/>
    <sheet name="All listings" sheetId="3" state="visible" r:id="rId5"/>
    <sheet name="Shortlist" sheetId="4" state="visible" r:id="rId6"/>
  </sheets>
  <definedNames>
    <definedName function="false" hidden="true" localSheetId="2" name="_xlnm._FilterDatabase" vbProcedure="false">'All listings'!$A$1:$M$71</definedName>
    <definedName function="false" hidden="true" localSheetId="3" name="_xlnm._FilterDatabase" vbProcedure="false">Shortlist!$A$1:$AA$30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W1" authorId="0">
      <text>
        <r>
          <rPr>
            <sz val="10"/>
            <rFont val="Arial"/>
            <family val="2"/>
          </rPr>
          <t xml:space="preserve">1-5: how much of the listing (size, garage, status, history) the agent could confirm</t>
        </r>
      </text>
    </comment>
  </commentList>
</comments>
</file>

<file path=xl/sharedStrings.xml><?xml version="1.0" encoding="utf-8"?>
<sst xmlns="http://schemas.openxmlformats.org/spreadsheetml/2006/main" count="818" uniqueCount="496">
  <si>
    <t xml:space="preserve">House search: Santa Clara, Sunnyvale, Mountain View, North San Jose</t>
  </si>
  <si>
    <t xml:space="preserve">Prepared</t>
  </si>
  <si>
    <t xml:space="preserve">27 Oct 2026</t>
  </si>
  <si>
    <t xml:space="preserve">Budget (USD)</t>
  </si>
  <si>
    <t xml:space="preserve">Stretch limit (USD, +5%)</t>
  </si>
  <si>
    <t xml:space="preserve">Minimum living area (sq ft)</t>
  </si>
  <si>
    <t xml:space="preserve">Request</t>
  </si>
  <si>
    <t xml:space="preserve">Single-family detached house, 3+ bedrooms, 2+ baths, garage; commute to Marvell, 5488 Marvell Lane, Santa Clara, CA 95054 under 20 minutes.</t>
  </si>
  <si>
    <t xml:space="preserve">Sheets</t>
  </si>
  <si>
    <t xml:space="preserve">Websites = where to search. All listings = every listing reviewed with size/budget checks. Shortlist = homes researched by agents: grocery, school rating, hospital, safety &amp; hazards, commute, scores.</t>
  </si>
  <si>
    <t xml:space="preserve">Edit</t>
  </si>
  <si>
    <t xml:space="preserve">Yellow cells are inputs: change the budget or minimum size and every pass/fail check recalculates. Blue cells are prices and scores you can update.</t>
  </si>
  <si>
    <t xml:space="preserve">Scoring</t>
  </si>
  <si>
    <t xml:space="preserve">Safety, Livability, Value, Verification are 1-5 from the research agents. Total = Safety + Livability + Value + 2 x Verification. The main pick also had to meet the 20-minute commute.</t>
  </si>
  <si>
    <t xml:space="preserve">Ongoing costs</t>
  </si>
  <si>
    <t xml:space="preserve">California property tax is roughly 1.1-1.25% of the purchase price per year (~$22-25K on $2M), plus homeowner's insurance (earthquake cover is separate) and any HOA / Mello-Roos.</t>
  </si>
  <si>
    <t xml:space="preserve">Caveats</t>
  </si>
  <si>
    <t xml:space="preserve">Zillow, Redfin and homes.com detail pages often blocked automated reading, so some facts come from MLS/brokerage pages or same-plan neighbours. Distances and commute times are estimates; check FEMA flood zones at msc.fema.gov and school assignment by address.</t>
  </si>
  <si>
    <t xml:space="preserve">Website</t>
  </si>
  <si>
    <t xml:space="preserve">URL</t>
  </si>
  <si>
    <t xml:space="preserve">Why use it</t>
  </si>
  <si>
    <t xml:space="preserve">Zillow</t>
  </si>
  <si>
    <t xml:space="preserve">https://www.zillow.com</t>
  </si>
  <si>
    <t xml:space="preserve">Largest US portal; Zestimates and price/tax history. Blocks automated reading - browse it yourself.</t>
  </si>
  <si>
    <t xml:space="preserve">Redfin</t>
  </si>
  <si>
    <t xml:space="preserve">https://www.redfin.com</t>
  </si>
  <si>
    <t xml:space="preserve">Fast MLS updates, sold comps, Flood Factor and school data; partly blocked for automated reading.</t>
  </si>
  <si>
    <t xml:space="preserve">Realtor.com</t>
  </si>
  <si>
    <t xml:space="preserve">https://www.realtor.com</t>
  </si>
  <si>
    <t xml:space="preserve">MLS-fed listings, often the most up-to-date status (pending/contingent).</t>
  </si>
  <si>
    <t xml:space="preserve">Homes.com</t>
  </si>
  <si>
    <t xml:space="preserve">https://www.homes.com</t>
  </si>
  <si>
    <t xml:space="preserve">Clean city/ZIP lists with price-drop tags; main source for this shortlist.</t>
  </si>
  <si>
    <t xml:space="preserve">MLSListings</t>
  </si>
  <si>
    <t xml:space="preserve">https://www.mlslistings.com</t>
  </si>
  <si>
    <t xml:space="preserve">The Bay Area MLS itself; city market stats (median, $/sqft, days on market).</t>
  </si>
  <si>
    <t xml:space="preserve">Brokerage sites (Compass, Coldwell Banker, Sereno, RE/MAX)</t>
  </si>
  <si>
    <t xml:space="preserve">https://www.coldwellbankerhomes.com</t>
  </si>
  <si>
    <t xml:space="preserve">Full MLS detail pages that usually load when portals block.</t>
  </si>
  <si>
    <t xml:space="preserve">GreatSchools</t>
  </si>
  <si>
    <t xml:space="preserve">https://www.greatschools.org</t>
  </si>
  <si>
    <t xml:space="preserve">School ratings and assigned-school lookups by address.</t>
  </si>
  <si>
    <t xml:space="preserve">FEMA Flood Map Service Center</t>
  </si>
  <si>
    <t xml:space="preserve">https://msc.fema.gov</t>
  </si>
  <si>
    <t xml:space="preserve">Official flood zone for each address (affects insurance).</t>
  </si>
  <si>
    <t xml:space="preserve">#</t>
  </si>
  <si>
    <t xml:space="preserve">City</t>
  </si>
  <si>
    <t xml:space="preserve">Address</t>
  </si>
  <si>
    <t xml:space="preserve">Link</t>
  </si>
  <si>
    <t xml:space="preserve">Price ($)</t>
  </si>
  <si>
    <t xml:space="preserve">Beds</t>
  </si>
  <si>
    <t xml:space="preserve">Baths</t>
  </si>
  <si>
    <t xml:space="preserve">Living sq ft</t>
  </si>
  <si>
    <t xml:space="preserve">$ / sq ft</t>
  </si>
  <si>
    <t xml:space="preserve">&gt;= min sq ft?</t>
  </si>
  <si>
    <t xml:space="preserve">3+ bd &amp; 2+ ba?</t>
  </si>
  <si>
    <t xml:space="preserve">Within budget?</t>
  </si>
  <si>
    <t xml:space="preserve">Outcome / reason</t>
  </si>
  <si>
    <t xml:space="preserve">Santa Clara</t>
  </si>
  <si>
    <t xml:space="preserve">3021 Santa Maria Ave, 95051</t>
  </si>
  <si>
    <t xml:space="preserve">Open listing</t>
  </si>
  <si>
    <t xml:space="preserve">Shortlisted SC-1</t>
  </si>
  <si>
    <t xml:space="preserve">2044 Finley Pl, 95050</t>
  </si>
  <si>
    <t xml:space="preserve">Over budget</t>
  </si>
  <si>
    <t xml:space="preserve">3483 Emmett Pl, 95051</t>
  </si>
  <si>
    <t xml:space="preserve">Under 1,400 sq ft</t>
  </si>
  <si>
    <t xml:space="preserve">3015 Machado Ave, 95051</t>
  </si>
  <si>
    <t xml:space="preserve">679 Cupples Ct, 95051</t>
  </si>
  <si>
    <t xml:space="preserve">1718 Pomeroy Ave, 95051</t>
  </si>
  <si>
    <t xml:space="preserve">621 Hilmar St, 95050</t>
  </si>
  <si>
    <t xml:space="preserve">Over budget (&gt;5%)</t>
  </si>
  <si>
    <t xml:space="preserve">5019 Avenida de Lago, 95054</t>
  </si>
  <si>
    <t xml:space="preserve">Shortlisted SC-2</t>
  </si>
  <si>
    <t xml:space="preserve">1659 Hood Ct, 95051</t>
  </si>
  <si>
    <t xml:space="preserve">376 Cypress Ave, 95050</t>
  </si>
  <si>
    <t xml:space="preserve">1152 Pierce St, 95050</t>
  </si>
  <si>
    <t xml:space="preserve">646 Bucher Ave, 95051</t>
  </si>
  <si>
    <t xml:space="preserve">Shortlisted SC-3</t>
  </si>
  <si>
    <t xml:space="preserve">908 Fremont St, 95050</t>
  </si>
  <si>
    <t xml:space="preserve">2124 San Antonio Pl, 95051</t>
  </si>
  <si>
    <t xml:space="preserve">2015 Jackson St, 95050</t>
  </si>
  <si>
    <t xml:space="preserve">Under 1,400 sq ft; 1 bath</t>
  </si>
  <si>
    <t xml:space="preserve">3633 Vireo Ave, 95051</t>
  </si>
  <si>
    <t xml:space="preserve">930 White Dr, 95051</t>
  </si>
  <si>
    <t xml:space="preserve">Shortlisted SC-4</t>
  </si>
  <si>
    <t xml:space="preserve">2527 Malone Pl, 95050</t>
  </si>
  <si>
    <t xml:space="preserve">Shortlisted SC-5</t>
  </si>
  <si>
    <t xml:space="preserve">3805 Thrush Way, 95051</t>
  </si>
  <si>
    <t xml:space="preserve">2347 Warburton Ave, 95050</t>
  </si>
  <si>
    <t xml:space="preserve">3282 Loma Alta Dr, 95051</t>
  </si>
  <si>
    <t xml:space="preserve">3131 Dorcich St, 95050</t>
  </si>
  <si>
    <t xml:space="preserve">Only 1.5 baths</t>
  </si>
  <si>
    <t xml:space="preserve">1940 Briarwood Dr, 95051</t>
  </si>
  <si>
    <t xml:space="preserve">Under 1,400 sq ft; court sale</t>
  </si>
  <si>
    <t xml:space="preserve">3786 Dunford Way, 95051</t>
  </si>
  <si>
    <t xml:space="preserve">2199 Avenida de Las Flores, 95054</t>
  </si>
  <si>
    <t xml:space="preserve">Shortlisted SC-6</t>
  </si>
  <si>
    <t xml:space="preserve">1000 Wood Duck Ave, 95051</t>
  </si>
  <si>
    <t xml:space="preserve">2831 Monroe St, 95051</t>
  </si>
  <si>
    <t xml:space="preserve">Shortlisted SC-7</t>
  </si>
  <si>
    <t xml:space="preserve">1145 Market St, 95050</t>
  </si>
  <si>
    <t xml:space="preserve">2005 Stanley Ave, 95050</t>
  </si>
  <si>
    <t xml:space="preserve">Shortlisted SC-8</t>
  </si>
  <si>
    <t xml:space="preserve">950 Camino Dr, 95050</t>
  </si>
  <si>
    <t xml:space="preserve">2631 Monroe St, 95051</t>
  </si>
  <si>
    <t xml:space="preserve">1893 Bowers Ave, 95051</t>
  </si>
  <si>
    <t xml:space="preserve">1765 Market St, 95050</t>
  </si>
  <si>
    <t xml:space="preserve">Two homes on one lot; over budget</t>
  </si>
  <si>
    <t xml:space="preserve">Sunnyvale</t>
  </si>
  <si>
    <t xml:space="preserve">807 S Wolfe Rd, 94086</t>
  </si>
  <si>
    <t xml:space="preserve">Shortlisted SV-1 (stretch)</t>
  </si>
  <si>
    <t xml:space="preserve">1110 Breezewood Ct, 94089</t>
  </si>
  <si>
    <t xml:space="preserve">1389 Sydney Dr, 94087</t>
  </si>
  <si>
    <t xml:space="preserve">Shortlisted SV-2 (stretch)</t>
  </si>
  <si>
    <t xml:space="preserve">885 Coachella Ave, 94085</t>
  </si>
  <si>
    <t xml:space="preserve">348 Angel Ave, 94086</t>
  </si>
  <si>
    <t xml:space="preserve">Shortlisted SV-8</t>
  </si>
  <si>
    <t xml:space="preserve">813 San Petronio Ave, 94085</t>
  </si>
  <si>
    <t xml:space="preserve">Shortlisted SV-3</t>
  </si>
  <si>
    <t xml:space="preserve">366 Pismo Ter, 94086</t>
  </si>
  <si>
    <t xml:space="preserve">1181 Blazingwood Dr, 94089</t>
  </si>
  <si>
    <t xml:space="preserve">Shortlisted SV-4</t>
  </si>
  <si>
    <t xml:space="preserve">392 E McKinley Ave, 94086</t>
  </si>
  <si>
    <t xml:space="preserve">837 Dwight Ave, 94086</t>
  </si>
  <si>
    <t xml:space="preserve">586 Borregas Ave, 94085</t>
  </si>
  <si>
    <t xml:space="preserve">Shortlisted SV-5 (no garage)</t>
  </si>
  <si>
    <t xml:space="preserve">263 E Hemlock Ave, 94085</t>
  </si>
  <si>
    <t xml:space="preserve">225 S Mathilda Ave, 94086</t>
  </si>
  <si>
    <t xml:space="preserve">Shortlisted SV-6 (no garage)</t>
  </si>
  <si>
    <t xml:space="preserve">1213 Manet Dr, 94087</t>
  </si>
  <si>
    <t xml:space="preserve">Shortlisted SV-7</t>
  </si>
  <si>
    <t xml:space="preserve">Mountain View</t>
  </si>
  <si>
    <t xml:space="preserve">128 Bonny St, 94043</t>
  </si>
  <si>
    <t xml:space="preserve">1734 Spring St, 94043</t>
  </si>
  <si>
    <t xml:space="preserve">3312 Pyramid Way, 94043</t>
  </si>
  <si>
    <t xml:space="preserve">Shortlisted MV-1</t>
  </si>
  <si>
    <t xml:space="preserve">3818 Pyramid Way, 94043</t>
  </si>
  <si>
    <t xml:space="preserve">Shortlisted MV-2</t>
  </si>
  <si>
    <t xml:space="preserve">435 Nicholas Dr, 94043</t>
  </si>
  <si>
    <t xml:space="preserve">250 Stierlin Rd, 94043</t>
  </si>
  <si>
    <t xml:space="preserve">North San Jose</t>
  </si>
  <si>
    <t xml:space="preserve">4213 Verdigris Cir, 95134</t>
  </si>
  <si>
    <t xml:space="preserve">Shortlisted NS-1</t>
  </si>
  <si>
    <t xml:space="preserve">681 Epic Way (Pyrus Place Plan 3), 95134</t>
  </si>
  <si>
    <t xml:space="preserve">Shortlisted NS-2 (townhouse)</t>
  </si>
  <si>
    <t xml:space="preserve">687 Epic Way (Pyrus Place Plan 4), 95134</t>
  </si>
  <si>
    <t xml:space="preserve">Shortlisted NS-3 (townhouse)</t>
  </si>
  <si>
    <t xml:space="preserve">675 Epic Way (Pyrus Place Plan 5), 95134</t>
  </si>
  <si>
    <t xml:space="preserve">Shortlisted NS-4 (townhouse)</t>
  </si>
  <si>
    <t xml:space="preserve">5114 Archangel Dr, 95002</t>
  </si>
  <si>
    <t xml:space="preserve">Alviso 95002 - outside requested area</t>
  </si>
  <si>
    <t xml:space="preserve">1317 Dryden Dr, 95131</t>
  </si>
  <si>
    <t xml:space="preserve">Shortlisted NS-5</t>
  </si>
  <si>
    <t xml:space="preserve">1094 Rock Ave, 95131</t>
  </si>
  <si>
    <t xml:space="preserve">Shortlisted NS-6</t>
  </si>
  <si>
    <t xml:space="preserve">1280 Turrett Dr, 95131</t>
  </si>
  <si>
    <t xml:space="preserve">Shortlisted NS-12 (no garage)</t>
  </si>
  <si>
    <t xml:space="preserve">2032 Nunes Dr, 95131</t>
  </si>
  <si>
    <t xml:space="preserve">1459 Goldenlake Rd, 95131</t>
  </si>
  <si>
    <t xml:space="preserve">Shortlisted NS-7</t>
  </si>
  <si>
    <t xml:space="preserve">1382 Sajak Ave, 95131</t>
  </si>
  <si>
    <t xml:space="preserve">1367 Shore Dr, 95131</t>
  </si>
  <si>
    <t xml:space="preserve">Shortlisted NS-8</t>
  </si>
  <si>
    <t xml:space="preserve">1972 Doxey Dr, 95131</t>
  </si>
  <si>
    <t xml:space="preserve">1255 Briarberry Ct, 95131</t>
  </si>
  <si>
    <t xml:space="preserve">1357 Goldenlake Rd, 95131</t>
  </si>
  <si>
    <t xml:space="preserve">Shortlisted NS-10</t>
  </si>
  <si>
    <t xml:space="preserve">1873 Silkwood Ln, 95131</t>
  </si>
  <si>
    <t xml:space="preserve">Shortlisted NS-9</t>
  </si>
  <si>
    <t xml:space="preserve">1753 Ridgetree Way, 95131</t>
  </si>
  <si>
    <t xml:space="preserve">Shortlisted NS-11 (stretch)</t>
  </si>
  <si>
    <t xml:space="preserve">ID</t>
  </si>
  <si>
    <t xml:space="preserve">Lot (sq ft)</t>
  </si>
  <si>
    <t xml:space="preserve">Bed/Bath</t>
  </si>
  <si>
    <t xml:space="preserve">Garage</t>
  </si>
  <si>
    <t xml:space="preserve">Year</t>
  </si>
  <si>
    <t xml:space="preserve">HOA</t>
  </si>
  <si>
    <t xml:space="preserve">Status / history</t>
  </si>
  <si>
    <t xml:space="preserve">Grocery</t>
  </si>
  <si>
    <t xml:space="preserve">Elementary school (rating)</t>
  </si>
  <si>
    <t xml:space="preserve">Hospital (ER)</t>
  </si>
  <si>
    <t xml:space="preserve">Safety &amp; hazards</t>
  </si>
  <si>
    <t xml:space="preserve">Commute to Marvell</t>
  </si>
  <si>
    <t xml:space="preserve">Red flags</t>
  </si>
  <si>
    <t xml:space="preserve">Safety 1-5</t>
  </si>
  <si>
    <t xml:space="preserve">Livability 1-5</t>
  </si>
  <si>
    <t xml:space="preserve">Value 1-5</t>
  </si>
  <si>
    <t xml:space="preserve">Verification 1-5</t>
  </si>
  <si>
    <t xml:space="preserve">Total score</t>
  </si>
  <si>
    <t xml:space="preserve">Rank (all)</t>
  </si>
  <si>
    <t xml:space="preserve">Status</t>
  </si>
  <si>
    <t xml:space="preserve">SC-7</t>
  </si>
  <si>
    <t xml:space="preserve">2831 Monroe St, Santa Clara 95051</t>
  </si>
  <si>
    <t xml:space="preserve">7,000 (corner)</t>
  </si>
  <si>
    <t xml:space="preserve">4/2</t>
  </si>
  <si>
    <t xml:space="preserve">2-car attached</t>
  </si>
  <si>
    <t xml:space="preserve">None</t>
  </si>
  <si>
    <t xml:space="preserve">Active, ~44-68 days; cut $410K from $2.499M on 9/9/2026</t>
  </si>
  <si>
    <t xml:space="preserve">Lucky/Safeway on El Camino ~1 mi (est.)</t>
  </si>
  <si>
    <t xml:space="preserve">Bracher Elem (Santa Clara USD) 6/10, 0.27 mi; Bowers 7/10 0.43 mi</t>
  </si>
  <si>
    <t xml:space="preserve">Kaiser Santa Clara Medical Center (ER) ~2 mi</t>
  </si>
  <si>
    <t xml:space="preserve">Santa Clara violent crime below US average (city-data); flood zone likely X - verify; possible San Tomas Expwy noise.</t>
  </si>
  <si>
    <t xml:space="preserve">15-20 min</t>
  </si>
  <si>
    <t xml:space="preserve">Motivated seller after big cuts; 'fully permitted' expansion - get permit copies; corner lot sees more traffic.</t>
  </si>
  <si>
    <t xml:space="preserve">MAIN PICK</t>
  </si>
  <si>
    <t xml:space="preserve">SC-5</t>
  </si>
  <si>
    <t xml:space="preserve">2527 Malone Pl, Santa Clara 95050</t>
  </si>
  <si>
    <t xml:space="preserve">6,534</t>
  </si>
  <si>
    <t xml:space="preserve">3/2 + 1/1 ADU</t>
  </si>
  <si>
    <t xml:space="preserve">Active, 66 days; cut $300K</t>
  </si>
  <si>
    <t xml:space="preserve">Safeway/Lucky, Homestead Rd ~1 mi (est.)</t>
  </si>
  <si>
    <t xml:space="preserve">C.W. Haman Elem (Santa Clara USD) 6/10, 0.4 mi; Millikin 10/10 nearby (choice school)</t>
  </si>
  <si>
    <t xml:space="preserve">Kaiser Santa Clara (ER) ~1.5-2 mi</t>
  </si>
  <si>
    <t xml:space="preserve">Central Santa Clara, average-to-low crime; away from the Bay so lower flood/liquefaction risk (verify).</t>
  </si>
  <si>
    <t xml:space="preserve">15-18 min</t>
  </si>
  <si>
    <t xml:space="preserve">Right at the budget cap; permitted ADU with its own address (2529 Malone) - rental income or family suite.</t>
  </si>
  <si>
    <t xml:space="preserve">Alternative #1</t>
  </si>
  <si>
    <t xml:space="preserve">NS-6</t>
  </si>
  <si>
    <t xml:space="preserve">1094 Rock Ave, San Jose 95131</t>
  </si>
  <si>
    <t xml:space="preserve">3,000</t>
  </si>
  <si>
    <t xml:space="preserve">3/2.5</t>
  </si>
  <si>
    <t xml:space="preserve">2-car</t>
  </si>
  <si>
    <t xml:space="preserve">$0 (verify)</t>
  </si>
  <si>
    <t xml:space="preserve">Active, ~47 days</t>
  </si>
  <si>
    <t xml:space="preserve">99 Ranch Market, Milpitas Square ~2 mi (est.)</t>
  </si>
  <si>
    <t xml:space="preserve">Orchard Elem K-8 (Orchard SD) 5/10, 0.3 mi</t>
  </si>
  <si>
    <t xml:space="preserve">Regional Medical Center of San Jose (ER) ~5 mi</t>
  </si>
  <si>
    <t xml:space="preserve">Mixed residential/industrial Oakland Rd area, crime ~San Jose average; Redfin Flood Factor 5/10 - flood insurance likely; rail/truck noise.</t>
  </si>
  <si>
    <t xml:space="preserve">Small lot; former rental; flood risk.</t>
  </si>
  <si>
    <t xml:space="preserve">Alternative #2</t>
  </si>
  <si>
    <t xml:space="preserve">SV-4</t>
  </si>
  <si>
    <t xml:space="preserve">1181 Blazingwood Dr, Sunnyvale 94089 (Lakewood Village)</t>
  </si>
  <si>
    <t xml:space="preserve">5,670</t>
  </si>
  <si>
    <t xml:space="preserve">3/2</t>
  </si>
  <si>
    <t xml:space="preserve">Active (~65 days); bought $1.25M Jun 2026, remodeled flip</t>
  </si>
  <si>
    <t xml:space="preserve">New Wing Yuan Market, Lakewood Shopping Center ~0.5 mi</t>
  </si>
  <si>
    <t xml:space="preserve">Fairwood Elem (Sunnyvale SD) 9/10, 0.3 mi; Fremont High 9/10</t>
  </si>
  <si>
    <t xml:space="preserve">Kaiser Santa Clara (ER) ~2.5 mi</t>
  </si>
  <si>
    <t xml:space="preserve">Sunnyvale crime below CA average (NeighborhoodScout); Flood Factor 1/10; Hwy 237/Lawrence noise ~0.5 mi.</t>
  </si>
  <si>
    <t xml:space="preserve">8-12 min</t>
  </si>
  <si>
    <t xml:space="preserve">Investor flip (+$250K in 2 months) - ask for permits and the full work list; local grocery center may be redeveloped.</t>
  </si>
  <si>
    <t xml:space="preserve">Alternative #3</t>
  </si>
  <si>
    <t xml:space="preserve">SV-8</t>
  </si>
  <si>
    <t xml:space="preserve">348 Angel Ave, Sunnyvale 94086</t>
  </si>
  <si>
    <t xml:space="preserve">6,400</t>
  </si>
  <si>
    <t xml:space="preserve">5/4 (incl. 1/1 ADU)</t>
  </si>
  <si>
    <t xml:space="preserve">Detached 2-car + EV, ADU above</t>
  </si>
  <si>
    <t xml:space="preserve">Active, new construction; relisted $3.588M -&gt; $2.98M -&gt; $1.988M</t>
  </si>
  <si>
    <t xml:space="preserve">Safeway on El Camino / downtown ~0.8 mi (est.)</t>
  </si>
  <si>
    <t xml:space="preserve">Bishop Elem (Sunnyvale SD) 7/10, 0.7 mi; Fremont High 9/10</t>
  </si>
  <si>
    <t xml:space="preserve">Kaiser Santa Clara (ER) ~3 mi</t>
  </si>
  <si>
    <t xml:space="preserve">Central Sunnyvale, crime near city average; possible Caltrain/Central Expwy noise.</t>
  </si>
  <si>
    <t xml:space="preserve">10-14 min</t>
  </si>
  <si>
    <t xml:space="preserve">Priced to start a bidding war - expect final price well above $2M; confirm final inspection / certificate of occupancy.</t>
  </si>
  <si>
    <t xml:space="preserve">Alternative #4</t>
  </si>
  <si>
    <t xml:space="preserve">SC-1</t>
  </si>
  <si>
    <t xml:space="preserve">3021 Santa Maria Ave, Santa Clara 95051 (Bowers Crest)</t>
  </si>
  <si>
    <t xml:space="preserve">~5,550</t>
  </si>
  <si>
    <t xml:space="preserve">4/3 (2 primary suites)</t>
  </si>
  <si>
    <t xml:space="preserve">Active, just listed</t>
  </si>
  <si>
    <t xml:space="preserve">Bowers Plaza / El Camino centers ~0.9 mi</t>
  </si>
  <si>
    <t xml:space="preserve">Likely Bowers Elem (Santa Clara USD) 7/10, ~0.5-1 mi</t>
  </si>
  <si>
    <t xml:space="preserve">Kaiser Santa Clara (ER) ~1.5 mi</t>
  </si>
  <si>
    <t xml:space="preserve">Santa Clara violent crime about half the US rate (city-data); flood zone likely X; occasional SJC aircraft noise.</t>
  </si>
  <si>
    <t xml:space="preserve">12-18 min</t>
  </si>
  <si>
    <t xml:space="preserve">Below city median $/sqft - expect multiple offers; confirm school assignment.</t>
  </si>
  <si>
    <t xml:space="preserve">Alternative #5</t>
  </si>
  <si>
    <t xml:space="preserve">SC-3</t>
  </si>
  <si>
    <t xml:space="preserve">646 Bucher Ave, Santa Clara 95051 (Mariposa Gardens)</t>
  </si>
  <si>
    <t xml:space="preserve">5,247</t>
  </si>
  <si>
    <t xml:space="preserve">2-car attached + EV</t>
  </si>
  <si>
    <t xml:space="preserve">Active, 82 days; cut $100K</t>
  </si>
  <si>
    <t xml:space="preserve">Safeway, 2760 Homestead Rd ~0.8 mi</t>
  </si>
  <si>
    <t xml:space="preserve">Westwood Elem (Santa Clara USD) 6/10, 0.5 mi; Millikin 10/10 (choice)</t>
  </si>
  <si>
    <t xml:space="preserve">Kaiser Santa Clara (ER) ~1.2 mi</t>
  </si>
  <si>
    <t xml:space="preserve">Quiet residential street; flood zone likely X.</t>
  </si>
  <si>
    <t xml:space="preserve">Long time on market, above median $/sqft - room to negotiate; expansion permits.</t>
  </si>
  <si>
    <t xml:space="preserve">Alternative #6</t>
  </si>
  <si>
    <t xml:space="preserve">NS-9</t>
  </si>
  <si>
    <t xml:space="preserve">1873 Silkwood Ln, San Jose 95131</t>
  </si>
  <si>
    <t xml:space="preserve">3,139</t>
  </si>
  <si>
    <t xml:space="preserve">None listed</t>
  </si>
  <si>
    <t xml:space="preserve">Active, ~41 days</t>
  </si>
  <si>
    <t xml:space="preserve">Orchard Elem K-8 (Orchard SD) 5/10, ~0.4 mi</t>
  </si>
  <si>
    <t xml:space="preserve">Same area as NS-6: crime ~city average, moderate flood/liquefaction, rail noise.</t>
  </si>
  <si>
    <t xml:space="preserve">Small lot; check flood factor.</t>
  </si>
  <si>
    <t xml:space="preserve">Alternative #7</t>
  </si>
  <si>
    <t xml:space="preserve">SV-7</t>
  </si>
  <si>
    <t xml:space="preserve">1213 Manet Dr, Sunnyvale 94087</t>
  </si>
  <si>
    <t xml:space="preserve">2,755</t>
  </si>
  <si>
    <t xml:space="preserve">Active, ~96 days; cut ~$200-300K</t>
  </si>
  <si>
    <t xml:space="preserve">Safeway/Lucky, Hollenbeck-El Camino ~1 mi (est.)</t>
  </si>
  <si>
    <t xml:space="preserve">Stocklmeir Elem (Cupertino USD) 10/10 per listing - verify; Cupertino Middle 9/10</t>
  </si>
  <si>
    <t xml:space="preserve">El Camino Hospital Mountain View (ER) ~3.5 mi</t>
  </si>
  <si>
    <t xml:space="preserve">Low-crime southwest Sunnyvale; flood zone likely X.</t>
  </si>
  <si>
    <t xml:space="preserve">16-20 min</t>
  </si>
  <si>
    <t xml:space="preserve">Very small lot; school assignment conflicts in MLS - verify with Cupertino USD.</t>
  </si>
  <si>
    <t xml:space="preserve">Alternative #8</t>
  </si>
  <si>
    <t xml:space="preserve">SV-1</t>
  </si>
  <si>
    <t xml:space="preserve">807 S Wolfe Rd, Sunnyvale 94086</t>
  </si>
  <si>
    <t xml:space="preserve">7,000</t>
  </si>
  <si>
    <t xml:space="preserve">4/2 + office</t>
  </si>
  <si>
    <t xml:space="preserve">Active, ~26 days; cut $100K</t>
  </si>
  <si>
    <t xml:space="preserve">Safeway/Lucky on El Camino ~0.8 mi (est.)</t>
  </si>
  <si>
    <t xml:space="preserve">Likely Ponderosa Elem (Sunnyvale SD) ~6-7/10 (est.); Fremont High 9/10</t>
  </si>
  <si>
    <t xml:space="preserve">Sunnyvale crime below CA average; fronts 4-lane Wolfe Rd (traffic noise).</t>
  </si>
  <si>
    <t xml:space="preserve">12-16 min</t>
  </si>
  <si>
    <t xml:space="preserve">5% over budget; busy-road frontage hurts resale.</t>
  </si>
  <si>
    <t xml:space="preserve">Alternative #9</t>
  </si>
  <si>
    <t xml:space="preserve">NS-5</t>
  </si>
  <si>
    <t xml:space="preserve">1317 Dryden Dr, San Jose 95131 (Berryessa)</t>
  </si>
  <si>
    <t xml:space="preserve">6,000</t>
  </si>
  <si>
    <t xml:space="preserve">Active, listed 10/21/2026</t>
  </si>
  <si>
    <t xml:space="preserve">Safeway, Berryessa Rd ~1.2 mi</t>
  </si>
  <si>
    <t xml:space="preserve">Vinci Park Elem (Berryessa Union SD) 8/10, 0.2 mi</t>
  </si>
  <si>
    <t xml:space="preserve">Regional Medical Center of San Jose (ER) ~4 mi</t>
  </si>
  <si>
    <t xml:space="preserve">Berryessa is one of San Jose's safer areas (Niche A-); I-680 ~0.5 mi.</t>
  </si>
  <si>
    <t xml:space="preserve">20-25 min (over limit)</t>
  </si>
  <si>
    <t xml:space="preserve">Priced $210K under its 2024 sale - expect bidding; commute slightly over 20 min.</t>
  </si>
  <si>
    <t xml:space="preserve">Alternative #10</t>
  </si>
  <si>
    <t xml:space="preserve">NS-7</t>
  </si>
  <si>
    <t xml:space="preserve">1459 Goldenlake Rd, San Jose 95131 (Berryessa)</t>
  </si>
  <si>
    <t xml:space="preserve">6,090</t>
  </si>
  <si>
    <t xml:space="preserve">6/4</t>
  </si>
  <si>
    <t xml:space="preserve">Active, listed 10/22/2026; bought $1.6M Jul 2026 (flip)</t>
  </si>
  <si>
    <t xml:space="preserve">Lundy/Berryessa corridor stores ~1-1.5 mi (est.)</t>
  </si>
  <si>
    <t xml:space="preserve">Brooktree Elem (Berryessa Union SD) 6/10, 0.8 mi</t>
  </si>
  <si>
    <t xml:space="preserve">Berryessa generally below SJ average crime (unverified); I-680/SJC noise.</t>
  </si>
  <si>
    <t xml:space="preserve">18-25 min (borderline)</t>
  </si>
  <si>
    <t xml:space="preserve">Fast flip - pull permits; commute borderline.</t>
  </si>
  <si>
    <t xml:space="preserve">SV-2</t>
  </si>
  <si>
    <t xml:space="preserve">1389 Sydney Dr, Sunnyvale 94087</t>
  </si>
  <si>
    <t xml:space="preserve">~4,350</t>
  </si>
  <si>
    <t xml:space="preserve">3/2 + loft</t>
  </si>
  <si>
    <t xml:space="preserve">None shown</t>
  </si>
  <si>
    <t xml:space="preserve">Active, ~33 days</t>
  </si>
  <si>
    <t xml:space="preserve">Safeway/Nob Hill ~1 mi (est.)</t>
  </si>
  <si>
    <t xml:space="preserve">Nimitz Elem (Cupertino USD) 6/10, 0.1 mi; Cupertino Middle 9/10; Fremont High 9/10</t>
  </si>
  <si>
    <t xml:space="preserve">One of Sunnyvale's safest areas (NeighborhoodScout); flood zone likely X.</t>
  </si>
  <si>
    <t xml:space="preserve">18-22 min (borderline)</t>
  </si>
  <si>
    <t xml:space="preserve">'Patio home' - confirm detached and not in the Woodgate townhouse HOA; 5% over budget.</t>
  </si>
  <si>
    <t xml:space="preserve">NS-11</t>
  </si>
  <si>
    <t xml:space="preserve">1753 Ridgetree Way, San Jose 95131 (Tennyson Woods)</t>
  </si>
  <si>
    <t xml:space="preserve">4/3</t>
  </si>
  <si>
    <t xml:space="preserve">3-car attached</t>
  </si>
  <si>
    <t xml:space="preserve">Lundy Ave / Sierra Rd stores ~1-1.5 mi (est.)</t>
  </si>
  <si>
    <t xml:space="preserve">Brooktree Elem (Berryessa Union SD) 6/10, 0.1 mi</t>
  </si>
  <si>
    <t xml:space="preserve">Regional Medical Center of San Jose (ER) ~4.5 mi</t>
  </si>
  <si>
    <t xml:space="preserve">Established Berryessa neighbourhood; some I-680 noise.</t>
  </si>
  <si>
    <t xml:space="preserve">4.4% over budget; 32-year owner - check roof, plumbing, electrical; split-level stairs.</t>
  </si>
  <si>
    <t xml:space="preserve">SC-2</t>
  </si>
  <si>
    <t xml:space="preserve">5019 Avenida de Lago, Santa Clara 95054</t>
  </si>
  <si>
    <t xml:space="preserve">6,500</t>
  </si>
  <si>
    <t xml:space="preserve">2-car attached (tract, est.)</t>
  </si>
  <si>
    <t xml:space="preserve">Active</t>
  </si>
  <si>
    <t xml:space="preserve">Safeway, Rivermark Village ~1 mi</t>
  </si>
  <si>
    <t xml:space="preserve">Kathryn Hughes Elem (Santa Clara USD) 6/10, 0.2 mi</t>
  </si>
  <si>
    <t xml:space="preserve">Kaiser Santa Clara (ER) ~4.5 mi</t>
  </si>
  <si>
    <t xml:space="preserve">Quiet tract; liquefaction likely (Bay mud); Levi's Stadium / SJC noise.</t>
  </si>
  <si>
    <t xml:space="preserve">Priced ~$300K above an as-is twin sale ($1.66M) - you pay for the remodel; check permits.</t>
  </si>
  <si>
    <t xml:space="preserve">SC-8</t>
  </si>
  <si>
    <t xml:space="preserve">2005 Stanley Ave, Santa Clara 95050 (Westwood)</t>
  </si>
  <si>
    <t xml:space="preserve">3/3</t>
  </si>
  <si>
    <t xml:space="preserve">Active, listed 10/14/2026</t>
  </si>
  <si>
    <t xml:space="preserve">Lucky/Safeway ~1 mi (est.)</t>
  </si>
  <si>
    <t xml:space="preserve">Westwood Elem (Santa Clara USD) 6/10, 0.5 mi</t>
  </si>
  <si>
    <t xml:space="preserve">Redfin Flood Factor 5/10 (56-68% over 30 yrs); San Tomas / I-280 noise.</t>
  </si>
  <si>
    <t xml:space="preserve">High vs. a $1.65M sale across the street; check addition permits; flood insurance.</t>
  </si>
  <si>
    <t xml:space="preserve">MV-2</t>
  </si>
  <si>
    <t xml:space="preserve">3818 Pyramid Way, Mountain View 94043</t>
  </si>
  <si>
    <t xml:space="preserve">~1,425</t>
  </si>
  <si>
    <t xml:space="preserve">4/4</t>
  </si>
  <si>
    <t xml:space="preserve">~$186/mo</t>
  </si>
  <si>
    <t xml:space="preserve">Active; cut $238K</t>
  </si>
  <si>
    <t xml:space="preserve">Safeway, 570 N Shoreline ~2 mi (est.)</t>
  </si>
  <si>
    <t xml:space="preserve">Jose Antonio Vargas Elem (MV Whisman SD) 8/10, 0.3 mi</t>
  </si>
  <si>
    <t xml:space="preserve">El Camino Hospital Mountain View (ER) ~3 mi</t>
  </si>
  <si>
    <t xml:space="preserve">Quiet Whisman area; near MEW Superfund groundwater plume (ask for vapor disclosure); light-rail/Moffett noise.</t>
  </si>
  <si>
    <t xml:space="preserve">Small-lot 3-story detached home; data from same-plan sale (listing blocked) - verify; Mello-Roos check.</t>
  </si>
  <si>
    <t xml:space="preserve">MV-1</t>
  </si>
  <si>
    <t xml:space="preserve">3312 Pyramid Way, Mountain View 94043</t>
  </si>
  <si>
    <t xml:space="preserve">3/3.5</t>
  </si>
  <si>
    <t xml:space="preserve">Same as MV-2.</t>
  </si>
  <si>
    <t xml:space="preserve">Same-plan twin sold $2.125M - fair price; tiny lot; vapor disclosure.</t>
  </si>
  <si>
    <t xml:space="preserve">NS-1</t>
  </si>
  <si>
    <t xml:space="preserve">4213 Verdigris Cir, San Jose 95134 (Renaissance)</t>
  </si>
  <si>
    <t xml:space="preserve">~2,500 (est.)</t>
  </si>
  <si>
    <t xml:space="preserve">2-car attached (est.)</t>
  </si>
  <si>
    <t xml:space="preserve">Small (verify)</t>
  </si>
  <si>
    <t xml:space="preserve">Active, first time on market</t>
  </si>
  <si>
    <t xml:space="preserve">Safeway, Rivermark Plaza ~1 mi</t>
  </si>
  <si>
    <t xml:space="preserve">Don Callejon K-8 (Santa Clara USD) ~7/10 (est.), 0.5 mi</t>
  </si>
  <si>
    <t xml:space="preserve">Kaiser Santa Clara (ER) ~4 mi</t>
  </si>
  <si>
    <t xml:space="preserve">Crime at/below SJ average (est.); mapped liquefaction zone; FEMA X behind levees likely; VTA/Hwy 237 noise.</t>
  </si>
  <si>
    <t xml:space="preserve">10-12 min</t>
  </si>
  <si>
    <t xml:space="preserve">Listing blocked - details unverified; a smaller house on the same street sold $1.88M, so expect offers.</t>
  </si>
  <si>
    <t xml:space="preserve">SC-6</t>
  </si>
  <si>
    <t xml:space="preserve">2199 Avenida de Las Flores, Santa Clara 95054</t>
  </si>
  <si>
    <t xml:space="preserve">7,125</t>
  </si>
  <si>
    <t xml:space="preserve">Attached</t>
  </si>
  <si>
    <t xml:space="preserve">Active - Zillow tags PRE-FORECLOSURE</t>
  </si>
  <si>
    <t xml:space="preserve">Safeway, Rivermark ~1 mi</t>
  </si>
  <si>
    <t xml:space="preserve">Kathryn Hughes Elem (Santa Clara USD) 6/10, 0.3 mi</t>
  </si>
  <si>
    <t xml:space="preserve">Same quiet tract as SC-2.</t>
  </si>
  <si>
    <t xml:space="preserve">Distressed sale: lender/timing risk, as-is, dated interior; price shown $1.399M-$1.599M.</t>
  </si>
  <si>
    <t xml:space="preserve">NS-10</t>
  </si>
  <si>
    <t xml:space="preserve">1357 Goldenlake Rd, San Jose 95131 (Berryessa)</t>
  </si>
  <si>
    <t xml:space="preserve">~6,000 (est.)</t>
  </si>
  <si>
    <t xml:space="preserve">4/2.5</t>
  </si>
  <si>
    <t xml:space="preserve">Likely</t>
  </si>
  <si>
    <t xml:space="preserve">Likely none</t>
  </si>
  <si>
    <t xml:space="preserve">Safeway, Berryessa Rd ~1.3 mi</t>
  </si>
  <si>
    <t xml:space="preserve">Brooktree Elem 6/10 ~0.9 mi (maybe Vinci Park 8/10)</t>
  </si>
  <si>
    <t xml:space="preserve">Quiet Berryessa (Niche A-); low flood risk.</t>
  </si>
  <si>
    <t xml:space="preserve">Fixer - budget $100-250K+; details unconfirmed.</t>
  </si>
  <si>
    <t xml:space="preserve">SV-3</t>
  </si>
  <si>
    <t xml:space="preserve">813 San Petronio Ave, Sunnyvale 94085</t>
  </si>
  <si>
    <t xml:space="preserve">~5,600 (est.)</t>
  </si>
  <si>
    <t xml:space="preserve">3/2 + office</t>
  </si>
  <si>
    <t xml:space="preserve">NOT confirmed</t>
  </si>
  <si>
    <t xml:space="preserve">Fair Oaks / Arques markets ~1 mi (est.)</t>
  </si>
  <si>
    <t xml:space="preserve">San Miguel Elem (Sunnyvale SD) 5/10, 0.2 mi; Fremont High 9/10</t>
  </si>
  <si>
    <t xml:space="preserve">Check FEMA zone; some Hwy 101 noise.</t>
  </si>
  <si>
    <t xml:space="preserve">12-15 min</t>
  </si>
  <si>
    <t xml:space="preserve">Least verified; garage unconfirmed; office permits.</t>
  </si>
  <si>
    <t xml:space="preserve">NS-8</t>
  </si>
  <si>
    <t xml:space="preserve">1367 Shore Dr, San Jose 95131</t>
  </si>
  <si>
    <t xml:space="preserve">3,252</t>
  </si>
  <si>
    <t xml:space="preserve">5/5</t>
  </si>
  <si>
    <t xml:space="preserve">Unknown</t>
  </si>
  <si>
    <t xml:space="preserve">Active, ~34 days</t>
  </si>
  <si>
    <t xml:space="preserve">Market Park Plaza area ~1 mi (est.)</t>
  </si>
  <si>
    <t xml:space="preserve">Vinci Park Elem (Berryessa Union SD) 8/10, 0.7 mi</t>
  </si>
  <si>
    <t xml:space="preserve">Moderate crime (unverified); FEMA 'D' nearby; Oakland Rd/I-880/SJC noise.</t>
  </si>
  <si>
    <t xml:space="preserve">15-22 min</t>
  </si>
  <si>
    <t xml:space="preserve">Tiny lot; high vs. 1399 Shore Dr sale ($1.75M).</t>
  </si>
  <si>
    <t xml:space="preserve">NS-2</t>
  </si>
  <si>
    <t xml:space="preserve">681 Epic Way (Pyrus Place), San Jose 95134</t>
  </si>
  <si>
    <t xml:space="preserve">-</t>
  </si>
  <si>
    <t xml:space="preserve">2-car + EV</t>
  </si>
  <si>
    <t xml:space="preserve">$370/mo</t>
  </si>
  <si>
    <t xml:space="preserve">Relisted at $1.58M</t>
  </si>
  <si>
    <t xml:space="preserve">Safeway Rivermark ~2 mi</t>
  </si>
  <si>
    <t xml:space="preserve">Montague Elem 5/10 ~2.5 mi</t>
  </si>
  <si>
    <t xml:space="preserve">Kaiser Santa Clara ~5 mi</t>
  </si>
  <si>
    <t xml:space="preserve">Average crime; liquefaction; construction noise.</t>
  </si>
  <si>
    <t xml:space="preserve">MLS lists it as a 3-story TOWNHOUSE - not a detached house.</t>
  </si>
  <si>
    <t xml:space="preserve">Avoid</t>
  </si>
  <si>
    <t xml:space="preserve">NS-3</t>
  </si>
  <si>
    <t xml:space="preserve">687 Epic Way (Pyrus Place), San Jose 95134</t>
  </si>
  <si>
    <t xml:space="preserve">4/3.5</t>
  </si>
  <si>
    <t xml:space="preserve">$375/mo</t>
  </si>
  <si>
    <t xml:space="preserve">Active, 29 days</t>
  </si>
  <si>
    <t xml:space="preserve">Same as NS-2.</t>
  </si>
  <si>
    <t xml:space="preserve">Townhouse (3-story) - not a detached house.</t>
  </si>
  <si>
    <t xml:space="preserve">NS-4</t>
  </si>
  <si>
    <t xml:space="preserve">675 Epic Way Plan 5 (Pyrus Place), San Jose 95134</t>
  </si>
  <si>
    <t xml:space="preserve">2-car (est.)</t>
  </si>
  <si>
    <t xml:space="preserve">~$375/mo</t>
  </si>
  <si>
    <t xml:space="preserve">Unverified (floor plan)</t>
  </si>
  <si>
    <t xml:space="preserve">Townhouse floor plan with no MLS record.</t>
  </si>
  <si>
    <t xml:space="preserve">SV-5</t>
  </si>
  <si>
    <t xml:space="preserve">586 Borregas Ave, Sunnyvale 94085</t>
  </si>
  <si>
    <t xml:space="preserve">5,725</t>
  </si>
  <si>
    <t xml:space="preserve">NONE (driveway)</t>
  </si>
  <si>
    <t xml:space="preserve">Active; price raised after offer deadline</t>
  </si>
  <si>
    <t xml:space="preserve">Downtown Sunnyvale ~1 mi</t>
  </si>
  <si>
    <t xml:space="preserve">Bishop Elem 7/10, 0.3 mi</t>
  </si>
  <si>
    <t xml:space="preserve">El Camino MV / Kaiser SC ~4 mi</t>
  </si>
  <si>
    <t xml:space="preserve">Flood risk 4/10; Hwy 101 ~0.4 mi.</t>
  </si>
  <si>
    <t xml:space="preserve">No garage (fails requirement).</t>
  </si>
  <si>
    <t xml:space="preserve">SV-6</t>
  </si>
  <si>
    <t xml:space="preserve">225 S Mathilda Ave, Sunnyvale 94086</t>
  </si>
  <si>
    <t xml:space="preserve">5,000</t>
  </si>
  <si>
    <t xml:space="preserve">5/3 (incl. ADU)</t>
  </si>
  <si>
    <t xml:space="preserve">NONE (converted to ADU)</t>
  </si>
  <si>
    <t xml:space="preserve">Active, relisted</t>
  </si>
  <si>
    <t xml:space="preserve">Trader Joe's / downtown ~0.8 mi</t>
  </si>
  <si>
    <t xml:space="preserve">Cumberland Elem 10/10, 0.8 mi</t>
  </si>
  <si>
    <t xml:space="preserve">El Camino MV / Kaiser SC ~3.5 mi</t>
  </si>
  <si>
    <t xml:space="preserve">Busy Mathilda frontage; Caltrain horns.</t>
  </si>
  <si>
    <t xml:space="preserve">10-13 min</t>
  </si>
  <si>
    <t xml:space="preserve">No garage and main house only ~960 sq ft (fails requirements).</t>
  </si>
  <si>
    <t xml:space="preserve">NS-12</t>
  </si>
  <si>
    <t xml:space="preserve">1280 Turrett Dr, San Jose 95131</t>
  </si>
  <si>
    <t xml:space="preserve">5,998</t>
  </si>
  <si>
    <t xml:space="preserve">5/3 (incl. JADU)</t>
  </si>
  <si>
    <t xml:space="preserve">NONE (converted to JADU)</t>
  </si>
  <si>
    <t xml:space="preserve">Active; cut $475K</t>
  </si>
  <si>
    <t xml:space="preserve">Lundy Ave stores ~1 mi (est.)</t>
  </si>
  <si>
    <t xml:space="preserve">Vinci Park Elem 8/10, 0.4 mi</t>
  </si>
  <si>
    <t xml:space="preserve">Regional Medical Center SJ ~4 mi</t>
  </si>
  <si>
    <t xml:space="preserve">Crime ~SJ average.</t>
  </si>
  <si>
    <t xml:space="preserve">18-22 min</t>
  </si>
  <si>
    <t xml:space="preserve">No garage (fails requirement); priced to start bidding.</t>
  </si>
  <si>
    <t xml:space="preserve">Green = main pick; orange = avoid (townhouse or no garage). Distances and commute times are estimates. Blue cells are inputs.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</si>
</sst>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zillow.com/" TargetMode="External"/><Relationship Id="rId2" Type="http://schemas.openxmlformats.org/officeDocument/2006/relationships/hyperlink" Target="https://www.redfin.com/" TargetMode="External"/><Relationship Id="rId3" Type="http://schemas.openxmlformats.org/officeDocument/2006/relationships/hyperlink" Target="https://www.realtor.com/" TargetMode="External"/><Relationship Id="rId4" Type="http://schemas.openxmlformats.org/officeDocument/2006/relationships/hyperlink" Target="https://www.homes.com/" TargetMode="External"/><Relationship Id="rId5" Type="http://schemas.openxmlformats.org/officeDocument/2006/relationships/hyperlink" Target="https://www.mlslistings.com/" TargetMode="External"/><Relationship Id="rId6" Type="http://schemas.openxmlformats.org/officeDocument/2006/relationships/hyperlink" Target="https://www.coldwellbankerhomes.com/" TargetMode="External"/><Relationship Id="rId7" Type="http://schemas.openxmlformats.org/officeDocument/2006/relationships/hyperlink" Target="https://www.greatschools.org/" TargetMode="External"/><Relationship Id="rId8" Type="http://schemas.openxmlformats.org/officeDocument/2006/relationships/hyperlink" Target="https://msc.fema.gov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homes.com/property/3021-santa-maria-ave-santa-clara-ca/jkskk5pyg40np/" TargetMode="External"/><Relationship Id="rId2" Type="http://schemas.openxmlformats.org/officeDocument/2006/relationships/hyperlink" Target="https://www.homes.com/property/2044-finley-place-santa-clara-ca/7sr06n1j9kcqw/" TargetMode="External"/><Relationship Id="rId3" Type="http://schemas.openxmlformats.org/officeDocument/2006/relationships/hyperlink" Target="https://www.homes.com/property/3483-emmett-place-santa-clara-ca/71dvxrfp9393k/" TargetMode="External"/><Relationship Id="rId4" Type="http://schemas.openxmlformats.org/officeDocument/2006/relationships/hyperlink" Target="https://www.homes.com/property/3015-machado-ave-santa-clara-ca/50blz0fbsvhnj/" TargetMode="External"/><Relationship Id="rId5" Type="http://schemas.openxmlformats.org/officeDocument/2006/relationships/hyperlink" Target="https://www.homes.com/property/679-cupples-ct-santa-clara-ca/37xkl908xw52h/" TargetMode="External"/><Relationship Id="rId6" Type="http://schemas.openxmlformats.org/officeDocument/2006/relationships/hyperlink" Target="https://www.homes.com/property/1718-pomeroy-ave-santa-clara-ca/0pe7y6hcqngtf/" TargetMode="External"/><Relationship Id="rId7" Type="http://schemas.openxmlformats.org/officeDocument/2006/relationships/hyperlink" Target="https://www.homes.com/property/621-hilmar-st-santa-clara-ca/6mvtjxwppz204/" TargetMode="External"/><Relationship Id="rId8" Type="http://schemas.openxmlformats.org/officeDocument/2006/relationships/hyperlink" Target="https://www.homes.com/property/5019-avenida-de-lago-santa-clara-ca/decrfj2952teb/" TargetMode="External"/><Relationship Id="rId9" Type="http://schemas.openxmlformats.org/officeDocument/2006/relationships/hyperlink" Target="https://www.homes.com/property/1659-hood-ct-santa-clara-ca/6ky8ygnxe4j0d/" TargetMode="External"/><Relationship Id="rId10" Type="http://schemas.openxmlformats.org/officeDocument/2006/relationships/hyperlink" Target="https://www.homes.com/property/376-cypress-ave-santa-clara-ca/2498kvqvmbkbe/" TargetMode="External"/><Relationship Id="rId11" Type="http://schemas.openxmlformats.org/officeDocument/2006/relationships/hyperlink" Target="https://www.homes.com/property/1152-pierce-st-santa-clara-ca/4h7csbwed4lr5/" TargetMode="External"/><Relationship Id="rId12" Type="http://schemas.openxmlformats.org/officeDocument/2006/relationships/hyperlink" Target="https://www.homes.com/property/646-bucher-ave-santa-clara-ca/tb2cprdtb5bmd/" TargetMode="External"/><Relationship Id="rId13" Type="http://schemas.openxmlformats.org/officeDocument/2006/relationships/hyperlink" Target="https://www.homes.com/property/908-fremont-st-santa-clara-ca/x54zg0qw0yr6h/" TargetMode="External"/><Relationship Id="rId14" Type="http://schemas.openxmlformats.org/officeDocument/2006/relationships/hyperlink" Target="https://www.homes.com/property/2124-san-antonio-place-santa-clara-ca/n9t1mh9t9n51h/" TargetMode="External"/><Relationship Id="rId15" Type="http://schemas.openxmlformats.org/officeDocument/2006/relationships/hyperlink" Target="https://www.homes.com/property/2015-jackson-st-santa-clara-ca/8rczz6b31g1rd/" TargetMode="External"/><Relationship Id="rId16" Type="http://schemas.openxmlformats.org/officeDocument/2006/relationships/hyperlink" Target="https://www.homes.com/property/3633-vireo-ave-santa-clara-ca/nne03p58rpctx/" TargetMode="External"/><Relationship Id="rId17" Type="http://schemas.openxmlformats.org/officeDocument/2006/relationships/hyperlink" Target="https://www.homes.com/property/930-white-dr-santa-clara-ca/d1qsdyfdec2d3/" TargetMode="External"/><Relationship Id="rId18" Type="http://schemas.openxmlformats.org/officeDocument/2006/relationships/hyperlink" Target="https://www.homes.com/property/2527-malone-place-santa-clara-ca/2bmwnqtf655lc/" TargetMode="External"/><Relationship Id="rId19" Type="http://schemas.openxmlformats.org/officeDocument/2006/relationships/hyperlink" Target="https://www.homes.com/property/3805-thrush-way-santa-clara-ca/vqw9gmbg6bnhn/" TargetMode="External"/><Relationship Id="rId20" Type="http://schemas.openxmlformats.org/officeDocument/2006/relationships/hyperlink" Target="https://www.homes.com/property/2347-warburton-ave-santa-clara-ca/peqnen4npjfm6/" TargetMode="External"/><Relationship Id="rId21" Type="http://schemas.openxmlformats.org/officeDocument/2006/relationships/hyperlink" Target="https://www.homes.com/property/3282-loma-alta-dr-santa-clara-ca/3cmkqzpk035jq/" TargetMode="External"/><Relationship Id="rId22" Type="http://schemas.openxmlformats.org/officeDocument/2006/relationships/hyperlink" Target="https://www.homes.com/property/3131-dorcich-st-santa-clara-ca/2kcwsmjy9tmw5/" TargetMode="External"/><Relationship Id="rId23" Type="http://schemas.openxmlformats.org/officeDocument/2006/relationships/hyperlink" Target="https://www.homes.com/property/1940-briarwood-dr-santa-clara-ca/33l4h2x3gjg9y/" TargetMode="External"/><Relationship Id="rId24" Type="http://schemas.openxmlformats.org/officeDocument/2006/relationships/hyperlink" Target="https://www.homes.com/property/3786-dunford-way-santa-clara-ca/zxflk9d1jpvbp/" TargetMode="External"/><Relationship Id="rId25" Type="http://schemas.openxmlformats.org/officeDocument/2006/relationships/hyperlink" Target="https://www.homes.com/property/2199-avenida-de-las-flores-santa-clara-ca/eg48qsndg5rxz/" TargetMode="External"/><Relationship Id="rId26" Type="http://schemas.openxmlformats.org/officeDocument/2006/relationships/hyperlink" Target="https://www.homes.com/property/1000-wood-duck-ave-santa-clara-ca/j8vw3kvmr4zck/" TargetMode="External"/><Relationship Id="rId27" Type="http://schemas.openxmlformats.org/officeDocument/2006/relationships/hyperlink" Target="https://www.homes.com/property/2831-monroe-st-santa-clara-ca/9mlxtm1s3psjv/" TargetMode="External"/><Relationship Id="rId28" Type="http://schemas.openxmlformats.org/officeDocument/2006/relationships/hyperlink" Target="https://www.homes.com/property/1145-market-st-santa-clara-ca/1tgzmmkh25tvj/" TargetMode="External"/><Relationship Id="rId29" Type="http://schemas.openxmlformats.org/officeDocument/2006/relationships/hyperlink" Target="https://www.homes.com/property/2005-stanley-ave-santa-clara-ca/hlfce4ge1nlvb/" TargetMode="External"/><Relationship Id="rId30" Type="http://schemas.openxmlformats.org/officeDocument/2006/relationships/hyperlink" Target="https://www.homes.com/property/950-camino-dr-santa-clara-ca/khegnh3e51z13/" TargetMode="External"/><Relationship Id="rId31" Type="http://schemas.openxmlformats.org/officeDocument/2006/relationships/hyperlink" Target="https://www.homes.com/property/2631-monroe-st-santa-clara-ca/ykd9bnpsehfr9/" TargetMode="External"/><Relationship Id="rId32" Type="http://schemas.openxmlformats.org/officeDocument/2006/relationships/hyperlink" Target="https://www.homes.com/property/1893-bowers-ave-santa-clara-ca/zbetp3pw71cpy/" TargetMode="External"/><Relationship Id="rId33" Type="http://schemas.openxmlformats.org/officeDocument/2006/relationships/hyperlink" Target="https://www.homes.com/property/1765-market-st-santa-clara-ca/gev9fy3cfejmx/" TargetMode="External"/><Relationship Id="rId34" Type="http://schemas.openxmlformats.org/officeDocument/2006/relationships/hyperlink" Target="https://www.homes.com/property/807-s-wolfe-rd-sunnyvale-ca/1kpgwkt7mw9wy/" TargetMode="External"/><Relationship Id="rId35" Type="http://schemas.openxmlformats.org/officeDocument/2006/relationships/hyperlink" Target="https://www.homes.com/property/1110-breezewood-ct-sunnyvale-ca/6jqe4tl2enwdc/" TargetMode="External"/><Relationship Id="rId36" Type="http://schemas.openxmlformats.org/officeDocument/2006/relationships/hyperlink" Target="https://www.homes.com/property/1389-sydney-dr-sunnyvale-ca/q5t4x445sk1bx/" TargetMode="External"/><Relationship Id="rId37" Type="http://schemas.openxmlformats.org/officeDocument/2006/relationships/hyperlink" Target="https://www.homes.com/property/885-coachella-ave-sunnyvale-ca/pdk8l0mmexsyf/" TargetMode="External"/><Relationship Id="rId38" Type="http://schemas.openxmlformats.org/officeDocument/2006/relationships/hyperlink" Target="https://www.homes.com/property/348-angel-ave-sunnyvale-ca/xzpncqd86mzxn/" TargetMode="External"/><Relationship Id="rId39" Type="http://schemas.openxmlformats.org/officeDocument/2006/relationships/hyperlink" Target="https://www.homes.com/property/813-san-petronio-ave-sunnyvale-ca/qj730jk8zh50v/" TargetMode="External"/><Relationship Id="rId40" Type="http://schemas.openxmlformats.org/officeDocument/2006/relationships/hyperlink" Target="https://www.homes.com/property/366-pismo-terrace-sunnyvale-ca/8ne6cmpm96972/" TargetMode="External"/><Relationship Id="rId41" Type="http://schemas.openxmlformats.org/officeDocument/2006/relationships/hyperlink" Target="https://www.homes.com/property/1181-blazingwood-dr-sunnyvale-ca/h2ckhqlglck38/" TargetMode="External"/><Relationship Id="rId42" Type="http://schemas.openxmlformats.org/officeDocument/2006/relationships/hyperlink" Target="https://www.homes.com/property/392-e-mckinley-ave-sunnyvale-ca/rz3lk6p90r90f/" TargetMode="External"/><Relationship Id="rId43" Type="http://schemas.openxmlformats.org/officeDocument/2006/relationships/hyperlink" Target="https://www.homes.com/property/837-dwight-ave-sunnyvale-ca/c053k551yk7fs/" TargetMode="External"/><Relationship Id="rId44" Type="http://schemas.openxmlformats.org/officeDocument/2006/relationships/hyperlink" Target="https://www.homes.com/property/586-borregas-ave-sunnyvale-ca/ms9j6nkb1yzk7/" TargetMode="External"/><Relationship Id="rId45" Type="http://schemas.openxmlformats.org/officeDocument/2006/relationships/hyperlink" Target="https://www.homes.com/property/263-e-hemlock-ave-sunnyvale-ca/xjfz2b4jk225k/" TargetMode="External"/><Relationship Id="rId46" Type="http://schemas.openxmlformats.org/officeDocument/2006/relationships/hyperlink" Target="https://www.homes.com/property/225-s-mathilda-ave-sunnyvale-ca/jkfxrmlcy1cxy/" TargetMode="External"/><Relationship Id="rId47" Type="http://schemas.openxmlformats.org/officeDocument/2006/relationships/hyperlink" Target="https://www.homes.com/property/1213-manet-dr-sunnyvale-ca/3wzcrqs3ehtex/" TargetMode="External"/><Relationship Id="rId48" Type="http://schemas.openxmlformats.org/officeDocument/2006/relationships/hyperlink" Target="https://www.homes.com/property/128-bonny-st-mountain-view-ca/kj77v6vcy2bf5/" TargetMode="External"/><Relationship Id="rId49" Type="http://schemas.openxmlformats.org/officeDocument/2006/relationships/hyperlink" Target="https://www.homes.com/property/1734-spring-st-mountain-view-ca/yht2y4sm2n246/" TargetMode="External"/><Relationship Id="rId50" Type="http://schemas.openxmlformats.org/officeDocument/2006/relationships/hyperlink" Target="https://www.homes.com/property/3312-pyramid-way-mountain-view-ca/x7bd5xby250lm/" TargetMode="External"/><Relationship Id="rId51" Type="http://schemas.openxmlformats.org/officeDocument/2006/relationships/hyperlink" Target="https://www.homes.com/property/3818-pyramid-way-mountain-view-ca/1pzs1cd8wdrxy/" TargetMode="External"/><Relationship Id="rId52" Type="http://schemas.openxmlformats.org/officeDocument/2006/relationships/hyperlink" Target="https://www.homes.com/property/435-nicholas-dr-mountain-view-ca/bkykew0h9vlrc/" TargetMode="External"/><Relationship Id="rId53" Type="http://schemas.openxmlformats.org/officeDocument/2006/relationships/hyperlink" Target="https://www.homes.com/property/250-stierlin-rd-mountain-view-ca/37z4f56f08jtw/" TargetMode="External"/><Relationship Id="rId54" Type="http://schemas.openxmlformats.org/officeDocument/2006/relationships/hyperlink" Target="https://www.homes.com/property/4213-verdigris-cir-san-jose-ca/mc0jn1lehbxx6/" TargetMode="External"/><Relationship Id="rId55" Type="http://schemas.openxmlformats.org/officeDocument/2006/relationships/hyperlink" Target="https://www.homes.com/property/681-epic-way-san-jose-ca/3qwgp7cwlh8tk/" TargetMode="External"/><Relationship Id="rId56" Type="http://schemas.openxmlformats.org/officeDocument/2006/relationships/hyperlink" Target="https://www.homes.com/property/687-epic-way-san-jose-ca/7zh79vqcgxppy/" TargetMode="External"/><Relationship Id="rId57" Type="http://schemas.openxmlformats.org/officeDocument/2006/relationships/hyperlink" Target="https://www.homes.com/property/plan-5-5m-pyrus-place/1wbbds2vwx6rn/" TargetMode="External"/><Relationship Id="rId58" Type="http://schemas.openxmlformats.org/officeDocument/2006/relationships/hyperlink" Target="https://www.homes.com/property/5114-archangel-dr-san-jose-ca/v40qnbxtdc1fr/" TargetMode="External"/><Relationship Id="rId59" Type="http://schemas.openxmlformats.org/officeDocument/2006/relationships/hyperlink" Target="https://www.homes.com/property/1317-dryden-dr-san-jose-ca/wzylt837b9n38/" TargetMode="External"/><Relationship Id="rId60" Type="http://schemas.openxmlformats.org/officeDocument/2006/relationships/hyperlink" Target="https://www.homes.com/property/1094-rock-ave-san-jose-ca/w9l5vydwvezwd/" TargetMode="External"/><Relationship Id="rId61" Type="http://schemas.openxmlformats.org/officeDocument/2006/relationships/hyperlink" Target="https://www.homes.com/property/1280-turrett-dr-san-jose-ca/8fhkb2v6tnj4c/" TargetMode="External"/><Relationship Id="rId62" Type="http://schemas.openxmlformats.org/officeDocument/2006/relationships/hyperlink" Target="https://www.homes.com/property/2032-nunes-dr-san-jose-ca/82vz0z8t7sfj8/" TargetMode="External"/><Relationship Id="rId63" Type="http://schemas.openxmlformats.org/officeDocument/2006/relationships/hyperlink" Target="https://www.homes.com/property/1459-goldenlake-rd-san-jose-ca/z5v0snzk3t2wj/" TargetMode="External"/><Relationship Id="rId64" Type="http://schemas.openxmlformats.org/officeDocument/2006/relationships/hyperlink" Target="https://www.homes.com/property/1382-sajak-ave-san-jose-ca/g5szqffwf2fek/" TargetMode="External"/><Relationship Id="rId65" Type="http://schemas.openxmlformats.org/officeDocument/2006/relationships/hyperlink" Target="https://www.homes.com/property/1367-shore-dr-san-jose-ca/xgrzl1d0wwgzm/" TargetMode="External"/><Relationship Id="rId66" Type="http://schemas.openxmlformats.org/officeDocument/2006/relationships/hyperlink" Target="https://www.homes.com/property/1972-doxey-dr-san-jose-ca/mt0dhhzcrht2f/" TargetMode="External"/><Relationship Id="rId67" Type="http://schemas.openxmlformats.org/officeDocument/2006/relationships/hyperlink" Target="https://www.homes.com/property/1255-briarberry-ct-san-jose-ca/enj8qc2r8wx4v/" TargetMode="External"/><Relationship Id="rId68" Type="http://schemas.openxmlformats.org/officeDocument/2006/relationships/hyperlink" Target="https://www.homes.com/property/1357-goldenlake-rd-san-jose-ca/xq69hyefwp75l/" TargetMode="External"/><Relationship Id="rId69" Type="http://schemas.openxmlformats.org/officeDocument/2006/relationships/hyperlink" Target="https://www.homes.com/property/1873-silkwood-ln-san-jose-ca/7rjq4vsb9zlvk/" TargetMode="External"/><Relationship Id="rId70" Type="http://schemas.openxmlformats.org/officeDocument/2006/relationships/hyperlink" Target="https://www.homes.com/property/1753-ridgetree-way-san-jose-ca/pbfmcqbvn1wg9/" TargetMode="External"/><Relationship Id="rId7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homes.com/property/2831-monroe-st-santa-clara-ca/9mlxtm1s3psjv/" TargetMode="External"/><Relationship Id="rId3" Type="http://schemas.openxmlformats.org/officeDocument/2006/relationships/hyperlink" Target="https://www.homes.com/property/2527-malone-place-santa-clara-ca/2bmwnqtf655lc/" TargetMode="External"/><Relationship Id="rId4" Type="http://schemas.openxmlformats.org/officeDocument/2006/relationships/hyperlink" Target="https://www.homes.com/property/1094-rock-ave-san-jose-ca/w9l5vydwvezwd/" TargetMode="External"/><Relationship Id="rId5" Type="http://schemas.openxmlformats.org/officeDocument/2006/relationships/hyperlink" Target="https://www.homes.com/property/1181-blazingwood-dr-sunnyvale-ca/h2ckhqlglck38/" TargetMode="External"/><Relationship Id="rId6" Type="http://schemas.openxmlformats.org/officeDocument/2006/relationships/hyperlink" Target="https://www.homes.com/property/348-angel-ave-sunnyvale-ca/xzpncqd86mzxn/" TargetMode="External"/><Relationship Id="rId7" Type="http://schemas.openxmlformats.org/officeDocument/2006/relationships/hyperlink" Target="https://www.homes.com/property/3021-santa-maria-ave-santa-clara-ca/jkskk5pyg40np/" TargetMode="External"/><Relationship Id="rId8" Type="http://schemas.openxmlformats.org/officeDocument/2006/relationships/hyperlink" Target="https://www.homes.com/property/646-bucher-ave-santa-clara-ca/tb2cprdtb5bmd/" TargetMode="External"/><Relationship Id="rId9" Type="http://schemas.openxmlformats.org/officeDocument/2006/relationships/hyperlink" Target="https://www.homes.com/property/1873-silkwood-ln-san-jose-ca/7rjq4vsb9zlvk/" TargetMode="External"/><Relationship Id="rId10" Type="http://schemas.openxmlformats.org/officeDocument/2006/relationships/hyperlink" Target="https://www.homes.com/property/1213-manet-dr-sunnyvale-ca/3wzcrqs3ehtex/" TargetMode="External"/><Relationship Id="rId11" Type="http://schemas.openxmlformats.org/officeDocument/2006/relationships/hyperlink" Target="https://www.homes.com/property/807-s-wolfe-rd-sunnyvale-ca/1kpgwkt7mw9wy/" TargetMode="External"/><Relationship Id="rId12" Type="http://schemas.openxmlformats.org/officeDocument/2006/relationships/hyperlink" Target="https://www.homes.com/property/1317-dryden-dr-san-jose-ca/wzylt837b9n38/" TargetMode="External"/><Relationship Id="rId13" Type="http://schemas.openxmlformats.org/officeDocument/2006/relationships/hyperlink" Target="https://www.homes.com/property/1459-goldenlake-rd-san-jose-ca/z5v0snzk3t2wj/" TargetMode="External"/><Relationship Id="rId14" Type="http://schemas.openxmlformats.org/officeDocument/2006/relationships/hyperlink" Target="https://www.homes.com/property/1389-sydney-dr-sunnyvale-ca/q5t4x445sk1bx/" TargetMode="External"/><Relationship Id="rId15" Type="http://schemas.openxmlformats.org/officeDocument/2006/relationships/hyperlink" Target="https://www.homes.com/property/1753-ridgetree-way-san-jose-ca/pbfmcqbvn1wg9/" TargetMode="External"/><Relationship Id="rId16" Type="http://schemas.openxmlformats.org/officeDocument/2006/relationships/hyperlink" Target="https://www.homes.com/property/5019-avenida-de-lago-santa-clara-ca/decrfj2952teb/" TargetMode="External"/><Relationship Id="rId17" Type="http://schemas.openxmlformats.org/officeDocument/2006/relationships/hyperlink" Target="https://www.homes.com/property/2005-stanley-ave-santa-clara-ca/hlfce4ge1nlvb/" TargetMode="External"/><Relationship Id="rId18" Type="http://schemas.openxmlformats.org/officeDocument/2006/relationships/hyperlink" Target="https://www.homes.com/property/3818-pyramid-way-mountain-view-ca/1pzs1cd8wdrxy/" TargetMode="External"/><Relationship Id="rId19" Type="http://schemas.openxmlformats.org/officeDocument/2006/relationships/hyperlink" Target="https://www.homes.com/property/3312-pyramid-way-mountain-view-ca/x7bd5xby250lm/" TargetMode="External"/><Relationship Id="rId20" Type="http://schemas.openxmlformats.org/officeDocument/2006/relationships/hyperlink" Target="https://www.homes.com/property/4213-verdigris-cir-san-jose-ca/mc0jn1lehbxx6/" TargetMode="External"/><Relationship Id="rId21" Type="http://schemas.openxmlformats.org/officeDocument/2006/relationships/hyperlink" Target="https://www.homes.com/property/2199-avenida-de-las-flores-santa-clara-ca/eg48qsndg5rxz/" TargetMode="External"/><Relationship Id="rId22" Type="http://schemas.openxmlformats.org/officeDocument/2006/relationships/hyperlink" Target="https://www.homes.com/property/1357-goldenlake-rd-san-jose-ca/xq69hyefwp75l/" TargetMode="External"/><Relationship Id="rId23" Type="http://schemas.openxmlformats.org/officeDocument/2006/relationships/hyperlink" Target="https://www.homes.com/property/813-san-petronio-ave-sunnyvale-ca/qj730jk8zh50v/" TargetMode="External"/><Relationship Id="rId24" Type="http://schemas.openxmlformats.org/officeDocument/2006/relationships/hyperlink" Target="https://www.homes.com/property/1367-shore-dr-san-jose-ca/xgrzl1d0wwgzm/" TargetMode="External"/><Relationship Id="rId25" Type="http://schemas.openxmlformats.org/officeDocument/2006/relationships/hyperlink" Target="https://www.homes.com/property/681-epic-way-san-jose-ca/3qwgp7cwlh8tk/" TargetMode="External"/><Relationship Id="rId26" Type="http://schemas.openxmlformats.org/officeDocument/2006/relationships/hyperlink" Target="https://www.homes.com/property/687-epic-way-san-jose-ca/7zh79vqcgxppy/" TargetMode="External"/><Relationship Id="rId27" Type="http://schemas.openxmlformats.org/officeDocument/2006/relationships/hyperlink" Target="https://www.homes.com/property/plan-5-5m-pyrus-place/1wbbds2vwx6rn/" TargetMode="External"/><Relationship Id="rId28" Type="http://schemas.openxmlformats.org/officeDocument/2006/relationships/hyperlink" Target="https://www.homes.com/property/586-borregas-ave-sunnyvale-ca/ms9j6nkb1yzk7/" TargetMode="External"/><Relationship Id="rId29" Type="http://schemas.openxmlformats.org/officeDocument/2006/relationships/hyperlink" Target="https://www.homes.com/property/225-s-mathilda-ave-sunnyvale-ca/jkfxrmlcy1cxy/" TargetMode="External"/><Relationship Id="rId30" Type="http://schemas.openxmlformats.org/officeDocument/2006/relationships/hyperlink" Target="https://www.homes.com/property/1280-turrett-dr-san-jose-ca/8fhkb2v6tnj4c/" TargetMode="External"/><Relationship Id="rId31" Type="http://schemas.openxmlformats.org/officeDocument/2006/relationships/drawing" Target="../drawings/drawing2.xml"/><Relationship Id="rId3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/>
      <c r="B3" s="2"/>
    </row>
    <row r="4" customFormat="false" ht="15" hidden="false" customHeight="false" outlineLevel="0" collapsed="false">
      <c r="A4" s="3" t="s">
        <v>3</v>
      </c>
      <c r="B4" s="4" t="n">
        <v>2000000</v>
      </c>
    </row>
    <row r="5" customFormat="false" ht="15" hidden="false" customHeight="false" outlineLevel="0" collapsed="false">
      <c r="A5" s="3" t="s">
        <v>4</v>
      </c>
      <c r="B5" s="5" t="n">
        <f aca="false">B4*1.05</f>
        <v>2100000</v>
      </c>
    </row>
    <row r="6" customFormat="false" ht="15" hidden="false" customHeight="false" outlineLevel="0" collapsed="false">
      <c r="A6" s="3" t="s">
        <v>5</v>
      </c>
      <c r="B6" s="6" t="n">
        <v>1400</v>
      </c>
    </row>
    <row r="7" customFormat="false" ht="15" hidden="false" customHeight="false" outlineLevel="0" collapsed="false">
      <c r="A7" s="3"/>
      <c r="B7" s="2"/>
    </row>
    <row r="8" customFormat="false" ht="26.85" hidden="false" customHeight="false" outlineLevel="0" collapsed="false">
      <c r="A8" s="3" t="s">
        <v>6</v>
      </c>
      <c r="B8" s="2" t="s">
        <v>7</v>
      </c>
    </row>
    <row r="9" customFormat="false" ht="26.85" hidden="false" customHeight="false" outlineLevel="0" collapsed="false">
      <c r="A9" s="3" t="s">
        <v>8</v>
      </c>
      <c r="B9" s="2" t="s">
        <v>9</v>
      </c>
    </row>
    <row r="10" customFormat="false" ht="26.85" hidden="false" customHeight="false" outlineLevel="0" collapsed="false">
      <c r="A10" s="3" t="s">
        <v>10</v>
      </c>
      <c r="B10" s="2" t="s">
        <v>11</v>
      </c>
    </row>
    <row r="11" customFormat="false" ht="26.85" hidden="false" customHeight="false" outlineLevel="0" collapsed="false">
      <c r="A11" s="3" t="s">
        <v>12</v>
      </c>
      <c r="B11" s="2" t="s">
        <v>13</v>
      </c>
    </row>
    <row r="12" customFormat="false" ht="26.85" hidden="false" customHeight="false" outlineLevel="0" collapsed="false">
      <c r="A12" s="3" t="s">
        <v>14</v>
      </c>
      <c r="B12" s="2" t="s">
        <v>15</v>
      </c>
    </row>
    <row r="13" customFormat="false" ht="39.55" hidden="false" customHeight="false" outlineLevel="0" collapsed="false">
      <c r="A13" s="3" t="s">
        <v>16</v>
      </c>
      <c r="B1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8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7" t="s">
        <v>18</v>
      </c>
      <c r="B1" s="7" t="s">
        <v>19</v>
      </c>
      <c r="C1" s="7" t="s">
        <v>20</v>
      </c>
    </row>
    <row r="2" customFormat="false" ht="26.85" hidden="false" customHeight="false" outlineLevel="0" collapsed="false">
      <c r="A2" s="8" t="s">
        <v>21</v>
      </c>
      <c r="B2" s="9" t="s">
        <v>22</v>
      </c>
      <c r="C2" s="10" t="s">
        <v>23</v>
      </c>
    </row>
    <row r="3" customFormat="false" ht="26.85" hidden="false" customHeight="false" outlineLevel="0" collapsed="false">
      <c r="A3" s="8" t="s">
        <v>24</v>
      </c>
      <c r="B3" s="9" t="s">
        <v>25</v>
      </c>
      <c r="C3" s="10" t="s">
        <v>26</v>
      </c>
    </row>
    <row r="4" customFormat="false" ht="15" hidden="false" customHeight="false" outlineLevel="0" collapsed="false">
      <c r="A4" s="8" t="s">
        <v>27</v>
      </c>
      <c r="B4" s="9" t="s">
        <v>28</v>
      </c>
      <c r="C4" s="10" t="s">
        <v>29</v>
      </c>
    </row>
    <row r="5" customFormat="false" ht="15" hidden="false" customHeight="false" outlineLevel="0" collapsed="false">
      <c r="A5" s="8" t="s">
        <v>30</v>
      </c>
      <c r="B5" s="9" t="s">
        <v>31</v>
      </c>
      <c r="C5" s="10" t="s">
        <v>32</v>
      </c>
    </row>
    <row r="6" customFormat="false" ht="15" hidden="false" customHeight="false" outlineLevel="0" collapsed="false">
      <c r="A6" s="8" t="s">
        <v>33</v>
      </c>
      <c r="B6" s="9" t="s">
        <v>34</v>
      </c>
      <c r="C6" s="10" t="s">
        <v>35</v>
      </c>
    </row>
    <row r="7" customFormat="false" ht="26.85" hidden="false" customHeight="false" outlineLevel="0" collapsed="false">
      <c r="A7" s="8" t="s">
        <v>36</v>
      </c>
      <c r="B7" s="9" t="s">
        <v>37</v>
      </c>
      <c r="C7" s="10" t="s">
        <v>38</v>
      </c>
    </row>
    <row r="8" customFormat="false" ht="15" hidden="false" customHeight="false" outlineLevel="0" collapsed="false">
      <c r="A8" s="8" t="s">
        <v>39</v>
      </c>
      <c r="B8" s="9" t="s">
        <v>40</v>
      </c>
      <c r="C8" s="10" t="s">
        <v>41</v>
      </c>
    </row>
    <row r="9" customFormat="false" ht="15" hidden="false" customHeight="false" outlineLevel="0" collapsed="false">
      <c r="A9" s="8" t="s">
        <v>42</v>
      </c>
      <c r="B9" s="9" t="s">
        <v>43</v>
      </c>
      <c r="C9" s="10" t="s">
        <v>44</v>
      </c>
    </row>
  </sheetData>
  <hyperlinks>
    <hyperlink ref="B2" r:id="rId1" display="https://www.zillow.com"/>
    <hyperlink ref="B3" r:id="rId2" display="https://www.redfin.com"/>
    <hyperlink ref="B4" r:id="rId3" display="https://www.realtor.com"/>
    <hyperlink ref="B5" r:id="rId4" display="https://www.homes.com"/>
    <hyperlink ref="B6" r:id="rId5" display="https://www.mlslistings.com"/>
    <hyperlink ref="B7" r:id="rId6" display="https://www.coldwellbankerhomes.com"/>
    <hyperlink ref="B8" r:id="rId7" display="https://www.greatschools.org"/>
    <hyperlink ref="B9" r:id="rId8" display="https://msc.fema.gov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6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1" min="10" style="0" width="10"/>
    <col collapsed="false" customWidth="true" hidden="false" outlineLevel="0" max="12" min="12" style="0" width="13"/>
    <col collapsed="false" customWidth="true" hidden="false" outlineLevel="0" max="13" min="13" style="0" width="40"/>
  </cols>
  <sheetData>
    <row r="1" customFormat="false" ht="39.55" hidden="false" customHeight="false" outlineLevel="0" collapsed="false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 t="s">
        <v>54</v>
      </c>
      <c r="K1" s="7" t="s">
        <v>55</v>
      </c>
      <c r="L1" s="7" t="s">
        <v>56</v>
      </c>
      <c r="M1" s="7" t="s">
        <v>57</v>
      </c>
    </row>
    <row r="2" customFormat="false" ht="15" hidden="false" customHeight="false" outlineLevel="0" collapsed="false">
      <c r="A2" s="10" t="n">
        <v>1</v>
      </c>
      <c r="B2" s="10" t="s">
        <v>58</v>
      </c>
      <c r="C2" s="10" t="s">
        <v>59</v>
      </c>
      <c r="D2" s="9" t="s">
        <v>60</v>
      </c>
      <c r="E2" s="11" t="n">
        <v>1799000</v>
      </c>
      <c r="F2" s="10" t="n">
        <v>4</v>
      </c>
      <c r="G2" s="10" t="n">
        <v>3</v>
      </c>
      <c r="H2" s="12" t="n">
        <v>1586</v>
      </c>
      <c r="I2" s="13" t="n">
        <f aca="false">E2/H2</f>
        <v>1134.3001261034</v>
      </c>
      <c r="J2" s="10" t="str">
        <f aca="false">IF(H2&gt;='Read me'!$B$6,"Yes","No")</f>
        <v>Yes</v>
      </c>
      <c r="K2" s="10" t="str">
        <f aca="false">IF(AND(F2&gt;=3,G2&gt;=2),"Yes","No")</f>
        <v>Yes</v>
      </c>
      <c r="L2" s="10" t="str">
        <f aca="false">IF(E2&lt;='Read me'!$B$4,"Yes",IF(E2&lt;='Read me'!$B$5,"Stretch","No"))</f>
        <v>Yes</v>
      </c>
      <c r="M2" s="10" t="s">
        <v>61</v>
      </c>
    </row>
    <row r="3" customFormat="false" ht="15" hidden="false" customHeight="false" outlineLevel="0" collapsed="false">
      <c r="A3" s="10" t="n">
        <v>2</v>
      </c>
      <c r="B3" s="10" t="s">
        <v>58</v>
      </c>
      <c r="C3" s="10" t="s">
        <v>62</v>
      </c>
      <c r="D3" s="9" t="s">
        <v>60</v>
      </c>
      <c r="E3" s="11" t="n">
        <v>2498000</v>
      </c>
      <c r="F3" s="10" t="n">
        <v>4</v>
      </c>
      <c r="G3" s="10" t="n">
        <v>3</v>
      </c>
      <c r="H3" s="12" t="n">
        <v>2360</v>
      </c>
      <c r="I3" s="13" t="n">
        <f aca="false">E3/H3</f>
        <v>1058.47457627119</v>
      </c>
      <c r="J3" s="10" t="str">
        <f aca="false">IF(H3&gt;='Read me'!$B$6,"Yes","No")</f>
        <v>Yes</v>
      </c>
      <c r="K3" s="10" t="str">
        <f aca="false">IF(AND(F3&gt;=3,G3&gt;=2),"Yes","No")</f>
        <v>Yes</v>
      </c>
      <c r="L3" s="10" t="str">
        <f aca="false">IF(E3&lt;='Read me'!$B$4,"Yes",IF(E3&lt;='Read me'!$B$5,"Stretch","No"))</f>
        <v>No</v>
      </c>
      <c r="M3" s="10" t="s">
        <v>63</v>
      </c>
    </row>
    <row r="4" customFormat="false" ht="15" hidden="false" customHeight="false" outlineLevel="0" collapsed="false">
      <c r="A4" s="10" t="n">
        <v>3</v>
      </c>
      <c r="B4" s="10" t="s">
        <v>58</v>
      </c>
      <c r="C4" s="10" t="s">
        <v>64</v>
      </c>
      <c r="D4" s="9" t="s">
        <v>60</v>
      </c>
      <c r="E4" s="11" t="n">
        <v>1899000</v>
      </c>
      <c r="F4" s="10" t="n">
        <v>3</v>
      </c>
      <c r="G4" s="10" t="n">
        <v>2</v>
      </c>
      <c r="H4" s="12" t="n">
        <v>1302</v>
      </c>
      <c r="I4" s="13" t="n">
        <f aca="false">E4/H4</f>
        <v>1458.52534562212</v>
      </c>
      <c r="J4" s="10" t="str">
        <f aca="false">IF(H4&gt;='Read me'!$B$6,"Yes","No")</f>
        <v>No</v>
      </c>
      <c r="K4" s="10" t="str">
        <f aca="false">IF(AND(F4&gt;=3,G4&gt;=2),"Yes","No")</f>
        <v>Yes</v>
      </c>
      <c r="L4" s="10" t="str">
        <f aca="false">IF(E4&lt;='Read me'!$B$4,"Yes",IF(E4&lt;='Read me'!$B$5,"Stretch","No"))</f>
        <v>Yes</v>
      </c>
      <c r="M4" s="10" t="s">
        <v>65</v>
      </c>
    </row>
    <row r="5" customFormat="false" ht="15" hidden="false" customHeight="false" outlineLevel="0" collapsed="false">
      <c r="A5" s="10" t="n">
        <v>4</v>
      </c>
      <c r="B5" s="10" t="s">
        <v>58</v>
      </c>
      <c r="C5" s="10" t="s">
        <v>66</v>
      </c>
      <c r="D5" s="9" t="s">
        <v>60</v>
      </c>
      <c r="E5" s="11" t="n">
        <v>2499000</v>
      </c>
      <c r="F5" s="10" t="n">
        <v>4</v>
      </c>
      <c r="G5" s="10" t="n">
        <v>3</v>
      </c>
      <c r="H5" s="12" t="n">
        <v>2019</v>
      </c>
      <c r="I5" s="13" t="n">
        <f aca="false">E5/H5</f>
        <v>1237.74145616642</v>
      </c>
      <c r="J5" s="10" t="str">
        <f aca="false">IF(H5&gt;='Read me'!$B$6,"Yes","No")</f>
        <v>Yes</v>
      </c>
      <c r="K5" s="10" t="str">
        <f aca="false">IF(AND(F5&gt;=3,G5&gt;=2),"Yes","No")</f>
        <v>Yes</v>
      </c>
      <c r="L5" s="10" t="str">
        <f aca="false">IF(E5&lt;='Read me'!$B$4,"Yes",IF(E5&lt;='Read me'!$B$5,"Stretch","No"))</f>
        <v>No</v>
      </c>
      <c r="M5" s="10" t="s">
        <v>63</v>
      </c>
    </row>
    <row r="6" customFormat="false" ht="15" hidden="false" customHeight="false" outlineLevel="0" collapsed="false">
      <c r="A6" s="10" t="n">
        <v>5</v>
      </c>
      <c r="B6" s="10" t="s">
        <v>58</v>
      </c>
      <c r="C6" s="10" t="s">
        <v>67</v>
      </c>
      <c r="D6" s="9" t="s">
        <v>60</v>
      </c>
      <c r="E6" s="11" t="n">
        <v>2950000</v>
      </c>
      <c r="F6" s="10" t="n">
        <v>4</v>
      </c>
      <c r="G6" s="10" t="n">
        <v>3</v>
      </c>
      <c r="H6" s="12" t="n">
        <v>2375</v>
      </c>
      <c r="I6" s="13" t="n">
        <f aca="false">E6/H6</f>
        <v>1242.10526315789</v>
      </c>
      <c r="J6" s="10" t="str">
        <f aca="false">IF(H6&gt;='Read me'!$B$6,"Yes","No")</f>
        <v>Yes</v>
      </c>
      <c r="K6" s="10" t="str">
        <f aca="false">IF(AND(F6&gt;=3,G6&gt;=2),"Yes","No")</f>
        <v>Yes</v>
      </c>
      <c r="L6" s="10" t="str">
        <f aca="false">IF(E6&lt;='Read me'!$B$4,"Yes",IF(E6&lt;='Read me'!$B$5,"Stretch","No"))</f>
        <v>No</v>
      </c>
      <c r="M6" s="10" t="s">
        <v>63</v>
      </c>
    </row>
    <row r="7" customFormat="false" ht="15" hidden="false" customHeight="false" outlineLevel="0" collapsed="false">
      <c r="A7" s="10" t="n">
        <v>6</v>
      </c>
      <c r="B7" s="10" t="s">
        <v>58</v>
      </c>
      <c r="C7" s="10" t="s">
        <v>68</v>
      </c>
      <c r="D7" s="9" t="s">
        <v>60</v>
      </c>
      <c r="E7" s="11" t="n">
        <v>1688000</v>
      </c>
      <c r="F7" s="10" t="n">
        <v>3</v>
      </c>
      <c r="G7" s="10" t="n">
        <v>2</v>
      </c>
      <c r="H7" s="12" t="n">
        <v>1080</v>
      </c>
      <c r="I7" s="13" t="n">
        <f aca="false">E7/H7</f>
        <v>1562.96296296296</v>
      </c>
      <c r="J7" s="10" t="str">
        <f aca="false">IF(H7&gt;='Read me'!$B$6,"Yes","No")</f>
        <v>No</v>
      </c>
      <c r="K7" s="10" t="str">
        <f aca="false">IF(AND(F7&gt;=3,G7&gt;=2),"Yes","No")</f>
        <v>Yes</v>
      </c>
      <c r="L7" s="10" t="str">
        <f aca="false">IF(E7&lt;='Read me'!$B$4,"Yes",IF(E7&lt;='Read me'!$B$5,"Stretch","No"))</f>
        <v>Yes</v>
      </c>
      <c r="M7" s="10" t="s">
        <v>65</v>
      </c>
    </row>
    <row r="8" customFormat="false" ht="15" hidden="false" customHeight="false" outlineLevel="0" collapsed="false">
      <c r="A8" s="10" t="n">
        <v>7</v>
      </c>
      <c r="B8" s="10" t="s">
        <v>58</v>
      </c>
      <c r="C8" s="10" t="s">
        <v>69</v>
      </c>
      <c r="D8" s="9" t="s">
        <v>60</v>
      </c>
      <c r="E8" s="11" t="n">
        <v>2178000</v>
      </c>
      <c r="F8" s="10" t="n">
        <v>3</v>
      </c>
      <c r="G8" s="10" t="n">
        <v>2.5</v>
      </c>
      <c r="H8" s="12" t="n">
        <v>2671</v>
      </c>
      <c r="I8" s="13" t="n">
        <f aca="false">E8/H8</f>
        <v>815.424934481468</v>
      </c>
      <c r="J8" s="10" t="str">
        <f aca="false">IF(H8&gt;='Read me'!$B$6,"Yes","No")</f>
        <v>Yes</v>
      </c>
      <c r="K8" s="10" t="str">
        <f aca="false">IF(AND(F8&gt;=3,G8&gt;=2),"Yes","No")</f>
        <v>Yes</v>
      </c>
      <c r="L8" s="10" t="str">
        <f aca="false">IF(E8&lt;='Read me'!$B$4,"Yes",IF(E8&lt;='Read me'!$B$5,"Stretch","No"))</f>
        <v>No</v>
      </c>
      <c r="M8" s="10" t="s">
        <v>70</v>
      </c>
    </row>
    <row r="9" customFormat="false" ht="15" hidden="false" customHeight="false" outlineLevel="0" collapsed="false">
      <c r="A9" s="10" t="n">
        <v>8</v>
      </c>
      <c r="B9" s="10" t="s">
        <v>58</v>
      </c>
      <c r="C9" s="10" t="s">
        <v>71</v>
      </c>
      <c r="D9" s="9" t="s">
        <v>60</v>
      </c>
      <c r="E9" s="11" t="n">
        <v>1968888</v>
      </c>
      <c r="F9" s="10" t="n">
        <v>4</v>
      </c>
      <c r="G9" s="10" t="n">
        <v>2</v>
      </c>
      <c r="H9" s="12" t="n">
        <v>1584</v>
      </c>
      <c r="I9" s="13" t="n">
        <f aca="false">E9/H9</f>
        <v>1242.98484848485</v>
      </c>
      <c r="J9" s="10" t="str">
        <f aca="false">IF(H9&gt;='Read me'!$B$6,"Yes","No")</f>
        <v>Yes</v>
      </c>
      <c r="K9" s="10" t="str">
        <f aca="false">IF(AND(F9&gt;=3,G9&gt;=2),"Yes","No")</f>
        <v>Yes</v>
      </c>
      <c r="L9" s="10" t="str">
        <f aca="false">IF(E9&lt;='Read me'!$B$4,"Yes",IF(E9&lt;='Read me'!$B$5,"Stretch","No"))</f>
        <v>Yes</v>
      </c>
      <c r="M9" s="10" t="s">
        <v>72</v>
      </c>
    </row>
    <row r="10" customFormat="false" ht="15" hidden="false" customHeight="false" outlineLevel="0" collapsed="false">
      <c r="A10" s="10" t="n">
        <v>9</v>
      </c>
      <c r="B10" s="10" t="s">
        <v>58</v>
      </c>
      <c r="C10" s="10" t="s">
        <v>73</v>
      </c>
      <c r="D10" s="9" t="s">
        <v>60</v>
      </c>
      <c r="E10" s="11" t="n">
        <v>2388000</v>
      </c>
      <c r="F10" s="10" t="n">
        <v>5</v>
      </c>
      <c r="G10" s="10" t="n">
        <v>4</v>
      </c>
      <c r="H10" s="12" t="n">
        <v>2035</v>
      </c>
      <c r="I10" s="13" t="n">
        <f aca="false">E10/H10</f>
        <v>1173.46437346437</v>
      </c>
      <c r="J10" s="10" t="str">
        <f aca="false">IF(H10&gt;='Read me'!$B$6,"Yes","No")</f>
        <v>Yes</v>
      </c>
      <c r="K10" s="10" t="str">
        <f aca="false">IF(AND(F10&gt;=3,G10&gt;=2),"Yes","No")</f>
        <v>Yes</v>
      </c>
      <c r="L10" s="10" t="str">
        <f aca="false">IF(E10&lt;='Read me'!$B$4,"Yes",IF(E10&lt;='Read me'!$B$5,"Stretch","No"))</f>
        <v>No</v>
      </c>
      <c r="M10" s="10" t="s">
        <v>63</v>
      </c>
    </row>
    <row r="11" customFormat="false" ht="15" hidden="false" customHeight="false" outlineLevel="0" collapsed="false">
      <c r="A11" s="10" t="n">
        <v>10</v>
      </c>
      <c r="B11" s="10" t="s">
        <v>58</v>
      </c>
      <c r="C11" s="10" t="s">
        <v>74</v>
      </c>
      <c r="D11" s="9" t="s">
        <v>60</v>
      </c>
      <c r="E11" s="11" t="n">
        <v>2388000</v>
      </c>
      <c r="F11" s="10" t="n">
        <v>4</v>
      </c>
      <c r="G11" s="10" t="n">
        <v>2</v>
      </c>
      <c r="H11" s="12" t="n">
        <v>1817</v>
      </c>
      <c r="I11" s="13" t="n">
        <f aca="false">E11/H11</f>
        <v>1314.25426527243</v>
      </c>
      <c r="J11" s="10" t="str">
        <f aca="false">IF(H11&gt;='Read me'!$B$6,"Yes","No")</f>
        <v>Yes</v>
      </c>
      <c r="K11" s="10" t="str">
        <f aca="false">IF(AND(F11&gt;=3,G11&gt;=2),"Yes","No")</f>
        <v>Yes</v>
      </c>
      <c r="L11" s="10" t="str">
        <f aca="false">IF(E11&lt;='Read me'!$B$4,"Yes",IF(E11&lt;='Read me'!$B$5,"Stretch","No"))</f>
        <v>No</v>
      </c>
      <c r="M11" s="10" t="s">
        <v>63</v>
      </c>
    </row>
    <row r="12" customFormat="false" ht="15" hidden="false" customHeight="false" outlineLevel="0" collapsed="false">
      <c r="A12" s="10" t="n">
        <v>11</v>
      </c>
      <c r="B12" s="10" t="s">
        <v>58</v>
      </c>
      <c r="C12" s="10" t="s">
        <v>75</v>
      </c>
      <c r="D12" s="9" t="s">
        <v>60</v>
      </c>
      <c r="E12" s="11" t="n">
        <v>1280000</v>
      </c>
      <c r="F12" s="10" t="n">
        <v>3</v>
      </c>
      <c r="G12" s="10" t="n">
        <v>2</v>
      </c>
      <c r="H12" s="12" t="n">
        <v>998</v>
      </c>
      <c r="I12" s="13" t="n">
        <f aca="false">E12/H12</f>
        <v>1282.56513026052</v>
      </c>
      <c r="J12" s="10" t="str">
        <f aca="false">IF(H12&gt;='Read me'!$B$6,"Yes","No")</f>
        <v>No</v>
      </c>
      <c r="K12" s="10" t="str">
        <f aca="false">IF(AND(F12&gt;=3,G12&gt;=2),"Yes","No")</f>
        <v>Yes</v>
      </c>
      <c r="L12" s="10" t="str">
        <f aca="false">IF(E12&lt;='Read me'!$B$4,"Yes",IF(E12&lt;='Read me'!$B$5,"Stretch","No"))</f>
        <v>Yes</v>
      </c>
      <c r="M12" s="10" t="s">
        <v>65</v>
      </c>
    </row>
    <row r="13" customFormat="false" ht="15" hidden="false" customHeight="false" outlineLevel="0" collapsed="false">
      <c r="A13" s="10" t="n">
        <v>12</v>
      </c>
      <c r="B13" s="10" t="s">
        <v>58</v>
      </c>
      <c r="C13" s="10" t="s">
        <v>76</v>
      </c>
      <c r="D13" s="9" t="s">
        <v>60</v>
      </c>
      <c r="E13" s="11" t="n">
        <v>1988000</v>
      </c>
      <c r="F13" s="10" t="n">
        <v>3</v>
      </c>
      <c r="G13" s="10" t="n">
        <v>2</v>
      </c>
      <c r="H13" s="12" t="n">
        <v>1518</v>
      </c>
      <c r="I13" s="13" t="n">
        <f aca="false">E13/H13</f>
        <v>1309.61791831357</v>
      </c>
      <c r="J13" s="10" t="str">
        <f aca="false">IF(H13&gt;='Read me'!$B$6,"Yes","No")</f>
        <v>Yes</v>
      </c>
      <c r="K13" s="10" t="str">
        <f aca="false">IF(AND(F13&gt;=3,G13&gt;=2),"Yes","No")</f>
        <v>Yes</v>
      </c>
      <c r="L13" s="10" t="str">
        <f aca="false">IF(E13&lt;='Read me'!$B$4,"Yes",IF(E13&lt;='Read me'!$B$5,"Stretch","No"))</f>
        <v>Yes</v>
      </c>
      <c r="M13" s="10" t="s">
        <v>77</v>
      </c>
    </row>
    <row r="14" customFormat="false" ht="15" hidden="false" customHeight="false" outlineLevel="0" collapsed="false">
      <c r="A14" s="10" t="n">
        <v>13</v>
      </c>
      <c r="B14" s="10" t="s">
        <v>58</v>
      </c>
      <c r="C14" s="10" t="s">
        <v>78</v>
      </c>
      <c r="D14" s="9" t="s">
        <v>60</v>
      </c>
      <c r="E14" s="11" t="n">
        <v>2478000</v>
      </c>
      <c r="F14" s="10" t="n">
        <v>3</v>
      </c>
      <c r="G14" s="10" t="n">
        <v>3</v>
      </c>
      <c r="H14" s="12" t="n">
        <v>3207</v>
      </c>
      <c r="I14" s="13" t="n">
        <f aca="false">E14/H14</f>
        <v>772.684752104771</v>
      </c>
      <c r="J14" s="10" t="str">
        <f aca="false">IF(H14&gt;='Read me'!$B$6,"Yes","No")</f>
        <v>Yes</v>
      </c>
      <c r="K14" s="10" t="str">
        <f aca="false">IF(AND(F14&gt;=3,G14&gt;=2),"Yes","No")</f>
        <v>Yes</v>
      </c>
      <c r="L14" s="10" t="str">
        <f aca="false">IF(E14&lt;='Read me'!$B$4,"Yes",IF(E14&lt;='Read me'!$B$5,"Stretch","No"))</f>
        <v>No</v>
      </c>
      <c r="M14" s="10" t="s">
        <v>63</v>
      </c>
    </row>
    <row r="15" customFormat="false" ht="15" hidden="false" customHeight="false" outlineLevel="0" collapsed="false">
      <c r="A15" s="10" t="n">
        <v>14</v>
      </c>
      <c r="B15" s="10" t="s">
        <v>58</v>
      </c>
      <c r="C15" s="10" t="s">
        <v>79</v>
      </c>
      <c r="D15" s="9" t="s">
        <v>60</v>
      </c>
      <c r="E15" s="11" t="n">
        <v>1780000</v>
      </c>
      <c r="F15" s="10" t="n">
        <v>3</v>
      </c>
      <c r="G15" s="10" t="n">
        <v>2</v>
      </c>
      <c r="H15" s="12" t="n">
        <v>1078</v>
      </c>
      <c r="I15" s="13" t="n">
        <f aca="false">E15/H15</f>
        <v>1651.20593692022</v>
      </c>
      <c r="J15" s="10" t="str">
        <f aca="false">IF(H15&gt;='Read me'!$B$6,"Yes","No")</f>
        <v>No</v>
      </c>
      <c r="K15" s="10" t="str">
        <f aca="false">IF(AND(F15&gt;=3,G15&gt;=2),"Yes","No")</f>
        <v>Yes</v>
      </c>
      <c r="L15" s="10" t="str">
        <f aca="false">IF(E15&lt;='Read me'!$B$4,"Yes",IF(E15&lt;='Read me'!$B$5,"Stretch","No"))</f>
        <v>Yes</v>
      </c>
      <c r="M15" s="10" t="s">
        <v>65</v>
      </c>
    </row>
    <row r="16" customFormat="false" ht="15" hidden="false" customHeight="false" outlineLevel="0" collapsed="false">
      <c r="A16" s="10" t="n">
        <v>15</v>
      </c>
      <c r="B16" s="10" t="s">
        <v>58</v>
      </c>
      <c r="C16" s="10" t="s">
        <v>80</v>
      </c>
      <c r="D16" s="9" t="s">
        <v>60</v>
      </c>
      <c r="E16" s="11" t="n">
        <v>1499888</v>
      </c>
      <c r="F16" s="10" t="n">
        <v>3</v>
      </c>
      <c r="G16" s="10" t="n">
        <v>1</v>
      </c>
      <c r="H16" s="12" t="n">
        <v>985</v>
      </c>
      <c r="I16" s="13" t="n">
        <f aca="false">E16/H16</f>
        <v>1522.72893401015</v>
      </c>
      <c r="J16" s="10" t="str">
        <f aca="false">IF(H16&gt;='Read me'!$B$6,"Yes","No")</f>
        <v>No</v>
      </c>
      <c r="K16" s="10" t="str">
        <f aca="false">IF(AND(F16&gt;=3,G16&gt;=2),"Yes","No")</f>
        <v>No</v>
      </c>
      <c r="L16" s="10" t="str">
        <f aca="false">IF(E16&lt;='Read me'!$B$4,"Yes",IF(E16&lt;='Read me'!$B$5,"Stretch","No"))</f>
        <v>Yes</v>
      </c>
      <c r="M16" s="10" t="s">
        <v>81</v>
      </c>
    </row>
    <row r="17" customFormat="false" ht="15" hidden="false" customHeight="false" outlineLevel="0" collapsed="false">
      <c r="A17" s="10" t="n">
        <v>16</v>
      </c>
      <c r="B17" s="10" t="s">
        <v>58</v>
      </c>
      <c r="C17" s="10" t="s">
        <v>82</v>
      </c>
      <c r="D17" s="9" t="s">
        <v>60</v>
      </c>
      <c r="E17" s="11" t="n">
        <v>2798000</v>
      </c>
      <c r="F17" s="10" t="n">
        <v>4</v>
      </c>
      <c r="G17" s="10" t="n">
        <v>2.5</v>
      </c>
      <c r="H17" s="12" t="n">
        <v>2350</v>
      </c>
      <c r="I17" s="13" t="n">
        <f aca="false">E17/H17</f>
        <v>1190.63829787234</v>
      </c>
      <c r="J17" s="10" t="str">
        <f aca="false">IF(H17&gt;='Read me'!$B$6,"Yes","No")</f>
        <v>Yes</v>
      </c>
      <c r="K17" s="10" t="str">
        <f aca="false">IF(AND(F17&gt;=3,G17&gt;=2),"Yes","No")</f>
        <v>Yes</v>
      </c>
      <c r="L17" s="10" t="str">
        <f aca="false">IF(E17&lt;='Read me'!$B$4,"Yes",IF(E17&lt;='Read me'!$B$5,"Stretch","No"))</f>
        <v>No</v>
      </c>
      <c r="M17" s="10" t="s">
        <v>63</v>
      </c>
    </row>
    <row r="18" customFormat="false" ht="15" hidden="false" customHeight="false" outlineLevel="0" collapsed="false">
      <c r="A18" s="10" t="n">
        <v>17</v>
      </c>
      <c r="B18" s="10" t="s">
        <v>58</v>
      </c>
      <c r="C18" s="10" t="s">
        <v>83</v>
      </c>
      <c r="D18" s="9" t="s">
        <v>60</v>
      </c>
      <c r="E18" s="11" t="n">
        <v>1988888</v>
      </c>
      <c r="F18" s="10" t="n">
        <v>4</v>
      </c>
      <c r="G18" s="10" t="n">
        <v>2</v>
      </c>
      <c r="H18" s="12" t="n">
        <v>1446</v>
      </c>
      <c r="I18" s="13" t="n">
        <f aca="false">E18/H18</f>
        <v>1375.44121715076</v>
      </c>
      <c r="J18" s="10" t="str">
        <f aca="false">IF(H18&gt;='Read me'!$B$6,"Yes","No")</f>
        <v>Yes</v>
      </c>
      <c r="K18" s="10" t="str">
        <f aca="false">IF(AND(F18&gt;=3,G18&gt;=2),"Yes","No")</f>
        <v>Yes</v>
      </c>
      <c r="L18" s="10" t="str">
        <f aca="false">IF(E18&lt;='Read me'!$B$4,"Yes",IF(E18&lt;='Read me'!$B$5,"Stretch","No"))</f>
        <v>Yes</v>
      </c>
      <c r="M18" s="10" t="s">
        <v>84</v>
      </c>
    </row>
    <row r="19" customFormat="false" ht="15" hidden="false" customHeight="false" outlineLevel="0" collapsed="false">
      <c r="A19" s="10" t="n">
        <v>18</v>
      </c>
      <c r="B19" s="10" t="s">
        <v>58</v>
      </c>
      <c r="C19" s="10" t="s">
        <v>85</v>
      </c>
      <c r="D19" s="9" t="s">
        <v>60</v>
      </c>
      <c r="E19" s="11" t="n">
        <v>1995000</v>
      </c>
      <c r="F19" s="10" t="n">
        <v>3</v>
      </c>
      <c r="G19" s="10" t="n">
        <v>2</v>
      </c>
      <c r="H19" s="12" t="n">
        <v>1617</v>
      </c>
      <c r="I19" s="13" t="n">
        <f aca="false">E19/H19</f>
        <v>1233.76623376623</v>
      </c>
      <c r="J19" s="10" t="str">
        <f aca="false">IF(H19&gt;='Read me'!$B$6,"Yes","No")</f>
        <v>Yes</v>
      </c>
      <c r="K19" s="10" t="str">
        <f aca="false">IF(AND(F19&gt;=3,G19&gt;=2),"Yes","No")</f>
        <v>Yes</v>
      </c>
      <c r="L19" s="10" t="str">
        <f aca="false">IF(E19&lt;='Read me'!$B$4,"Yes",IF(E19&lt;='Read me'!$B$5,"Stretch","No"))</f>
        <v>Yes</v>
      </c>
      <c r="M19" s="10" t="s">
        <v>86</v>
      </c>
    </row>
    <row r="20" customFormat="false" ht="15" hidden="false" customHeight="false" outlineLevel="0" collapsed="false">
      <c r="A20" s="10" t="n">
        <v>19</v>
      </c>
      <c r="B20" s="10" t="s">
        <v>58</v>
      </c>
      <c r="C20" s="10" t="s">
        <v>87</v>
      </c>
      <c r="D20" s="9" t="s">
        <v>60</v>
      </c>
      <c r="E20" s="11" t="n">
        <v>2388888</v>
      </c>
      <c r="F20" s="10" t="n">
        <v>4</v>
      </c>
      <c r="G20" s="10" t="n">
        <v>2.5</v>
      </c>
      <c r="H20" s="12" t="n">
        <v>1897</v>
      </c>
      <c r="I20" s="13" t="n">
        <f aca="false">E20/H20</f>
        <v>1259.29783869267</v>
      </c>
      <c r="J20" s="10" t="str">
        <f aca="false">IF(H20&gt;='Read me'!$B$6,"Yes","No")</f>
        <v>Yes</v>
      </c>
      <c r="K20" s="10" t="str">
        <f aca="false">IF(AND(F20&gt;=3,G20&gt;=2),"Yes","No")</f>
        <v>Yes</v>
      </c>
      <c r="L20" s="10" t="str">
        <f aca="false">IF(E20&lt;='Read me'!$B$4,"Yes",IF(E20&lt;='Read me'!$B$5,"Stretch","No"))</f>
        <v>No</v>
      </c>
      <c r="M20" s="10" t="s">
        <v>63</v>
      </c>
    </row>
    <row r="21" customFormat="false" ht="15" hidden="false" customHeight="false" outlineLevel="0" collapsed="false">
      <c r="A21" s="10" t="n">
        <v>20</v>
      </c>
      <c r="B21" s="10" t="s">
        <v>58</v>
      </c>
      <c r="C21" s="10" t="s">
        <v>88</v>
      </c>
      <c r="D21" s="9" t="s">
        <v>60</v>
      </c>
      <c r="E21" s="11" t="n">
        <v>1650000</v>
      </c>
      <c r="F21" s="10" t="n">
        <v>3</v>
      </c>
      <c r="G21" s="10" t="n">
        <v>1</v>
      </c>
      <c r="H21" s="12" t="n">
        <v>1021</v>
      </c>
      <c r="I21" s="13" t="n">
        <f aca="false">E21/H21</f>
        <v>1616.06268364349</v>
      </c>
      <c r="J21" s="10" t="str">
        <f aca="false">IF(H21&gt;='Read me'!$B$6,"Yes","No")</f>
        <v>No</v>
      </c>
      <c r="K21" s="10" t="str">
        <f aca="false">IF(AND(F21&gt;=3,G21&gt;=2),"Yes","No")</f>
        <v>No</v>
      </c>
      <c r="L21" s="10" t="str">
        <f aca="false">IF(E21&lt;='Read me'!$B$4,"Yes",IF(E21&lt;='Read me'!$B$5,"Stretch","No"))</f>
        <v>Yes</v>
      </c>
      <c r="M21" s="10" t="s">
        <v>81</v>
      </c>
    </row>
    <row r="22" customFormat="false" ht="15" hidden="false" customHeight="false" outlineLevel="0" collapsed="false">
      <c r="A22" s="10" t="n">
        <v>21</v>
      </c>
      <c r="B22" s="10" t="s">
        <v>58</v>
      </c>
      <c r="C22" s="10" t="s">
        <v>89</v>
      </c>
      <c r="D22" s="9" t="s">
        <v>60</v>
      </c>
      <c r="E22" s="11" t="n">
        <v>2298000</v>
      </c>
      <c r="F22" s="10" t="n">
        <v>4</v>
      </c>
      <c r="G22" s="10" t="n">
        <v>2.5</v>
      </c>
      <c r="H22" s="12" t="n">
        <v>1791</v>
      </c>
      <c r="I22" s="13" t="n">
        <f aca="false">E22/H22</f>
        <v>1283.08207705193</v>
      </c>
      <c r="J22" s="10" t="str">
        <f aca="false">IF(H22&gt;='Read me'!$B$6,"Yes","No")</f>
        <v>Yes</v>
      </c>
      <c r="K22" s="10" t="str">
        <f aca="false">IF(AND(F22&gt;=3,G22&gt;=2),"Yes","No")</f>
        <v>Yes</v>
      </c>
      <c r="L22" s="10" t="str">
        <f aca="false">IF(E22&lt;='Read me'!$B$4,"Yes",IF(E22&lt;='Read me'!$B$5,"Stretch","No"))</f>
        <v>No</v>
      </c>
      <c r="M22" s="10" t="s">
        <v>63</v>
      </c>
    </row>
    <row r="23" customFormat="false" ht="15" hidden="false" customHeight="false" outlineLevel="0" collapsed="false">
      <c r="A23" s="10" t="n">
        <v>22</v>
      </c>
      <c r="B23" s="10" t="s">
        <v>58</v>
      </c>
      <c r="C23" s="10" t="s">
        <v>90</v>
      </c>
      <c r="D23" s="9" t="s">
        <v>60</v>
      </c>
      <c r="E23" s="11" t="n">
        <v>1598000</v>
      </c>
      <c r="F23" s="10" t="n">
        <v>3</v>
      </c>
      <c r="G23" s="10" t="n">
        <v>1.5</v>
      </c>
      <c r="H23" s="12" t="n">
        <v>1573</v>
      </c>
      <c r="I23" s="13" t="n">
        <f aca="false">E23/H23</f>
        <v>1015.89319771138</v>
      </c>
      <c r="J23" s="10" t="str">
        <f aca="false">IF(H23&gt;='Read me'!$B$6,"Yes","No")</f>
        <v>Yes</v>
      </c>
      <c r="K23" s="10" t="str">
        <f aca="false">IF(AND(F23&gt;=3,G23&gt;=2),"Yes","No")</f>
        <v>No</v>
      </c>
      <c r="L23" s="10" t="str">
        <f aca="false">IF(E23&lt;='Read me'!$B$4,"Yes",IF(E23&lt;='Read me'!$B$5,"Stretch","No"))</f>
        <v>Yes</v>
      </c>
      <c r="M23" s="10" t="s">
        <v>91</v>
      </c>
    </row>
    <row r="24" customFormat="false" ht="15" hidden="false" customHeight="false" outlineLevel="0" collapsed="false">
      <c r="A24" s="10" t="n">
        <v>23</v>
      </c>
      <c r="B24" s="10" t="s">
        <v>58</v>
      </c>
      <c r="C24" s="10" t="s">
        <v>92</v>
      </c>
      <c r="D24" s="9" t="s">
        <v>60</v>
      </c>
      <c r="E24" s="11" t="n">
        <v>1400000</v>
      </c>
      <c r="F24" s="10" t="n">
        <v>3</v>
      </c>
      <c r="G24" s="10" t="n">
        <v>2</v>
      </c>
      <c r="H24" s="12" t="n">
        <v>1212</v>
      </c>
      <c r="I24" s="13" t="n">
        <f aca="false">E24/H24</f>
        <v>1155.11551155116</v>
      </c>
      <c r="J24" s="10" t="str">
        <f aca="false">IF(H24&gt;='Read me'!$B$6,"Yes","No")</f>
        <v>No</v>
      </c>
      <c r="K24" s="10" t="str">
        <f aca="false">IF(AND(F24&gt;=3,G24&gt;=2),"Yes","No")</f>
        <v>Yes</v>
      </c>
      <c r="L24" s="10" t="str">
        <f aca="false">IF(E24&lt;='Read me'!$B$4,"Yes",IF(E24&lt;='Read me'!$B$5,"Stretch","No"))</f>
        <v>Yes</v>
      </c>
      <c r="M24" s="10" t="s">
        <v>93</v>
      </c>
    </row>
    <row r="25" customFormat="false" ht="15" hidden="false" customHeight="false" outlineLevel="0" collapsed="false">
      <c r="A25" s="10" t="n">
        <v>24</v>
      </c>
      <c r="B25" s="10" t="s">
        <v>58</v>
      </c>
      <c r="C25" s="10" t="s">
        <v>94</v>
      </c>
      <c r="D25" s="9" t="s">
        <v>60</v>
      </c>
      <c r="E25" s="11" t="n">
        <v>2399000</v>
      </c>
      <c r="F25" s="10" t="n">
        <v>4</v>
      </c>
      <c r="G25" s="10" t="n">
        <v>2</v>
      </c>
      <c r="H25" s="12" t="n">
        <v>1480</v>
      </c>
      <c r="I25" s="13" t="n">
        <f aca="false">E25/H25</f>
        <v>1620.94594594595</v>
      </c>
      <c r="J25" s="10" t="str">
        <f aca="false">IF(H25&gt;='Read me'!$B$6,"Yes","No")</f>
        <v>Yes</v>
      </c>
      <c r="K25" s="10" t="str">
        <f aca="false">IF(AND(F25&gt;=3,G25&gt;=2),"Yes","No")</f>
        <v>Yes</v>
      </c>
      <c r="L25" s="10" t="str">
        <f aca="false">IF(E25&lt;='Read me'!$B$4,"Yes",IF(E25&lt;='Read me'!$B$5,"Stretch","No"))</f>
        <v>No</v>
      </c>
      <c r="M25" s="10" t="s">
        <v>63</v>
      </c>
    </row>
    <row r="26" customFormat="false" ht="15" hidden="false" customHeight="false" outlineLevel="0" collapsed="false">
      <c r="A26" s="10" t="n">
        <v>25</v>
      </c>
      <c r="B26" s="10" t="s">
        <v>58</v>
      </c>
      <c r="C26" s="10" t="s">
        <v>95</v>
      </c>
      <c r="D26" s="9" t="s">
        <v>60</v>
      </c>
      <c r="E26" s="11" t="n">
        <v>1399000</v>
      </c>
      <c r="F26" s="10" t="n">
        <v>3</v>
      </c>
      <c r="G26" s="10" t="n">
        <v>2</v>
      </c>
      <c r="H26" s="12" t="n">
        <v>1563</v>
      </c>
      <c r="I26" s="13" t="n">
        <f aca="false">E26/H26</f>
        <v>895.073576455534</v>
      </c>
      <c r="J26" s="10" t="str">
        <f aca="false">IF(H26&gt;='Read me'!$B$6,"Yes","No")</f>
        <v>Yes</v>
      </c>
      <c r="K26" s="10" t="str">
        <f aca="false">IF(AND(F26&gt;=3,G26&gt;=2),"Yes","No")</f>
        <v>Yes</v>
      </c>
      <c r="L26" s="10" t="str">
        <f aca="false">IF(E26&lt;='Read me'!$B$4,"Yes",IF(E26&lt;='Read me'!$B$5,"Stretch","No"))</f>
        <v>Yes</v>
      </c>
      <c r="M26" s="10" t="s">
        <v>96</v>
      </c>
    </row>
    <row r="27" customFormat="false" ht="15" hidden="false" customHeight="false" outlineLevel="0" collapsed="false">
      <c r="A27" s="10" t="n">
        <v>26</v>
      </c>
      <c r="B27" s="10" t="s">
        <v>58</v>
      </c>
      <c r="C27" s="10" t="s">
        <v>97</v>
      </c>
      <c r="D27" s="9" t="s">
        <v>60</v>
      </c>
      <c r="E27" s="11" t="n">
        <v>2598000</v>
      </c>
      <c r="F27" s="10" t="n">
        <v>4</v>
      </c>
      <c r="G27" s="10" t="n">
        <v>3</v>
      </c>
      <c r="H27" s="12" t="n">
        <v>1793</v>
      </c>
      <c r="I27" s="13" t="n">
        <f aca="false">E27/H27</f>
        <v>1448.96820970441</v>
      </c>
      <c r="J27" s="10" t="str">
        <f aca="false">IF(H27&gt;='Read me'!$B$6,"Yes","No")</f>
        <v>Yes</v>
      </c>
      <c r="K27" s="10" t="str">
        <f aca="false">IF(AND(F27&gt;=3,G27&gt;=2),"Yes","No")</f>
        <v>Yes</v>
      </c>
      <c r="L27" s="10" t="str">
        <f aca="false">IF(E27&lt;='Read me'!$B$4,"Yes",IF(E27&lt;='Read me'!$B$5,"Stretch","No"))</f>
        <v>No</v>
      </c>
      <c r="M27" s="10" t="s">
        <v>63</v>
      </c>
    </row>
    <row r="28" customFormat="false" ht="15" hidden="false" customHeight="false" outlineLevel="0" collapsed="false">
      <c r="A28" s="10" t="n">
        <v>27</v>
      </c>
      <c r="B28" s="10" t="s">
        <v>58</v>
      </c>
      <c r="C28" s="10" t="s">
        <v>98</v>
      </c>
      <c r="D28" s="9" t="s">
        <v>60</v>
      </c>
      <c r="E28" s="11" t="n">
        <v>1988888</v>
      </c>
      <c r="F28" s="10" t="n">
        <v>4</v>
      </c>
      <c r="G28" s="10" t="n">
        <v>2</v>
      </c>
      <c r="H28" s="12" t="n">
        <v>1815</v>
      </c>
      <c r="I28" s="13" t="n">
        <f aca="false">E28/H28</f>
        <v>1095.80606060606</v>
      </c>
      <c r="J28" s="10" t="str">
        <f aca="false">IF(H28&gt;='Read me'!$B$6,"Yes","No")</f>
        <v>Yes</v>
      </c>
      <c r="K28" s="10" t="str">
        <f aca="false">IF(AND(F28&gt;=3,G28&gt;=2),"Yes","No")</f>
        <v>Yes</v>
      </c>
      <c r="L28" s="10" t="str">
        <f aca="false">IF(E28&lt;='Read me'!$B$4,"Yes",IF(E28&lt;='Read me'!$B$5,"Stretch","No"))</f>
        <v>Yes</v>
      </c>
      <c r="M28" s="10" t="s">
        <v>99</v>
      </c>
    </row>
    <row r="29" customFormat="false" ht="15" hidden="false" customHeight="false" outlineLevel="0" collapsed="false">
      <c r="A29" s="10" t="n">
        <v>28</v>
      </c>
      <c r="B29" s="10" t="s">
        <v>58</v>
      </c>
      <c r="C29" s="10" t="s">
        <v>100</v>
      </c>
      <c r="D29" s="9" t="s">
        <v>60</v>
      </c>
      <c r="E29" s="11" t="n">
        <v>1999950</v>
      </c>
      <c r="F29" s="10" t="n">
        <v>3</v>
      </c>
      <c r="G29" s="10" t="n">
        <v>3</v>
      </c>
      <c r="H29" s="12" t="n">
        <v>1373</v>
      </c>
      <c r="I29" s="13" t="n">
        <f aca="false">E29/H29</f>
        <v>1456.62782228696</v>
      </c>
      <c r="J29" s="10" t="str">
        <f aca="false">IF(H29&gt;='Read me'!$B$6,"Yes","No")</f>
        <v>No</v>
      </c>
      <c r="K29" s="10" t="str">
        <f aca="false">IF(AND(F29&gt;=3,G29&gt;=2),"Yes","No")</f>
        <v>Yes</v>
      </c>
      <c r="L29" s="10" t="str">
        <f aca="false">IF(E29&lt;='Read me'!$B$4,"Yes",IF(E29&lt;='Read me'!$B$5,"Stretch","No"))</f>
        <v>Yes</v>
      </c>
      <c r="M29" s="10" t="s">
        <v>65</v>
      </c>
    </row>
    <row r="30" customFormat="false" ht="15" hidden="false" customHeight="false" outlineLevel="0" collapsed="false">
      <c r="A30" s="10" t="n">
        <v>29</v>
      </c>
      <c r="B30" s="10" t="s">
        <v>58</v>
      </c>
      <c r="C30" s="10" t="s">
        <v>101</v>
      </c>
      <c r="D30" s="9" t="s">
        <v>60</v>
      </c>
      <c r="E30" s="11" t="n">
        <v>1899950</v>
      </c>
      <c r="F30" s="10" t="n">
        <v>3</v>
      </c>
      <c r="G30" s="10" t="n">
        <v>3</v>
      </c>
      <c r="H30" s="12" t="n">
        <v>1420</v>
      </c>
      <c r="I30" s="13" t="n">
        <f aca="false">E30/H30</f>
        <v>1337.99295774648</v>
      </c>
      <c r="J30" s="10" t="str">
        <f aca="false">IF(H30&gt;='Read me'!$B$6,"Yes","No")</f>
        <v>Yes</v>
      </c>
      <c r="K30" s="10" t="str">
        <f aca="false">IF(AND(F30&gt;=3,G30&gt;=2),"Yes","No")</f>
        <v>Yes</v>
      </c>
      <c r="L30" s="10" t="str">
        <f aca="false">IF(E30&lt;='Read me'!$B$4,"Yes",IF(E30&lt;='Read me'!$B$5,"Stretch","No"))</f>
        <v>Yes</v>
      </c>
      <c r="M30" s="10" t="s">
        <v>102</v>
      </c>
    </row>
    <row r="31" customFormat="false" ht="15" hidden="false" customHeight="false" outlineLevel="0" collapsed="false">
      <c r="A31" s="10" t="n">
        <v>30</v>
      </c>
      <c r="B31" s="10" t="s">
        <v>58</v>
      </c>
      <c r="C31" s="10" t="s">
        <v>103</v>
      </c>
      <c r="D31" s="9" t="s">
        <v>60</v>
      </c>
      <c r="E31" s="11" t="n">
        <v>2400000</v>
      </c>
      <c r="F31" s="10" t="n">
        <v>3</v>
      </c>
      <c r="G31" s="10" t="n">
        <v>2</v>
      </c>
      <c r="H31" s="12" t="n">
        <v>2193</v>
      </c>
      <c r="I31" s="13" t="n">
        <f aca="false">E31/H31</f>
        <v>1094.39124487004</v>
      </c>
      <c r="J31" s="10" t="str">
        <f aca="false">IF(H31&gt;='Read me'!$B$6,"Yes","No")</f>
        <v>Yes</v>
      </c>
      <c r="K31" s="10" t="str">
        <f aca="false">IF(AND(F31&gt;=3,G31&gt;=2),"Yes","No")</f>
        <v>Yes</v>
      </c>
      <c r="L31" s="10" t="str">
        <f aca="false">IF(E31&lt;='Read me'!$B$4,"Yes",IF(E31&lt;='Read me'!$B$5,"Stretch","No"))</f>
        <v>No</v>
      </c>
      <c r="M31" s="10" t="s">
        <v>63</v>
      </c>
    </row>
    <row r="32" customFormat="false" ht="15" hidden="false" customHeight="false" outlineLevel="0" collapsed="false">
      <c r="A32" s="10" t="n">
        <v>31</v>
      </c>
      <c r="B32" s="10" t="s">
        <v>58</v>
      </c>
      <c r="C32" s="10" t="s">
        <v>104</v>
      </c>
      <c r="D32" s="9" t="s">
        <v>60</v>
      </c>
      <c r="E32" s="11" t="n">
        <v>1499900</v>
      </c>
      <c r="F32" s="10" t="n">
        <v>3</v>
      </c>
      <c r="G32" s="10" t="n">
        <v>2</v>
      </c>
      <c r="H32" s="12" t="n">
        <v>1207</v>
      </c>
      <c r="I32" s="13" t="n">
        <f aca="false">E32/H32</f>
        <v>1242.66777133389</v>
      </c>
      <c r="J32" s="10" t="str">
        <f aca="false">IF(H32&gt;='Read me'!$B$6,"Yes","No")</f>
        <v>No</v>
      </c>
      <c r="K32" s="10" t="str">
        <f aca="false">IF(AND(F32&gt;=3,G32&gt;=2),"Yes","No")</f>
        <v>Yes</v>
      </c>
      <c r="L32" s="10" t="str">
        <f aca="false">IF(E32&lt;='Read me'!$B$4,"Yes",IF(E32&lt;='Read me'!$B$5,"Stretch","No"))</f>
        <v>Yes</v>
      </c>
      <c r="M32" s="10" t="s">
        <v>65</v>
      </c>
    </row>
    <row r="33" customFormat="false" ht="15" hidden="false" customHeight="false" outlineLevel="0" collapsed="false">
      <c r="A33" s="10" t="n">
        <v>32</v>
      </c>
      <c r="B33" s="10" t="s">
        <v>58</v>
      </c>
      <c r="C33" s="10" t="s">
        <v>105</v>
      </c>
      <c r="D33" s="9" t="s">
        <v>60</v>
      </c>
      <c r="E33" s="11" t="n">
        <v>1699000</v>
      </c>
      <c r="F33" s="10" t="n">
        <v>3</v>
      </c>
      <c r="G33" s="10" t="n">
        <v>2</v>
      </c>
      <c r="H33" s="12" t="n">
        <v>1034</v>
      </c>
      <c r="I33" s="13" t="n">
        <f aca="false">E33/H33</f>
        <v>1643.1334622824</v>
      </c>
      <c r="J33" s="10" t="str">
        <f aca="false">IF(H33&gt;='Read me'!$B$6,"Yes","No")</f>
        <v>No</v>
      </c>
      <c r="K33" s="10" t="str">
        <f aca="false">IF(AND(F33&gt;=3,G33&gt;=2),"Yes","No")</f>
        <v>Yes</v>
      </c>
      <c r="L33" s="10" t="str">
        <f aca="false">IF(E33&lt;='Read me'!$B$4,"Yes",IF(E33&lt;='Read me'!$B$5,"Stretch","No"))</f>
        <v>Yes</v>
      </c>
      <c r="M33" s="10" t="s">
        <v>65</v>
      </c>
    </row>
    <row r="34" customFormat="false" ht="15" hidden="false" customHeight="false" outlineLevel="0" collapsed="false">
      <c r="A34" s="10" t="n">
        <v>33</v>
      </c>
      <c r="B34" s="10" t="s">
        <v>58</v>
      </c>
      <c r="C34" s="10" t="s">
        <v>106</v>
      </c>
      <c r="D34" s="9" t="s">
        <v>60</v>
      </c>
      <c r="E34" s="11" t="n">
        <v>2188000</v>
      </c>
      <c r="F34" s="10" t="n">
        <v>5</v>
      </c>
      <c r="G34" s="10" t="n">
        <v>5</v>
      </c>
      <c r="H34" s="12" t="n">
        <v>1324</v>
      </c>
      <c r="I34" s="13" t="n">
        <f aca="false">E34/H34</f>
        <v>1652.56797583082</v>
      </c>
      <c r="J34" s="10" t="str">
        <f aca="false">IF(H34&gt;='Read me'!$B$6,"Yes","No")</f>
        <v>No</v>
      </c>
      <c r="K34" s="10" t="str">
        <f aca="false">IF(AND(F34&gt;=3,G34&gt;=2),"Yes","No")</f>
        <v>Yes</v>
      </c>
      <c r="L34" s="10" t="str">
        <f aca="false">IF(E34&lt;='Read me'!$B$4,"Yes",IF(E34&lt;='Read me'!$B$5,"Stretch","No"))</f>
        <v>No</v>
      </c>
      <c r="M34" s="10" t="s">
        <v>107</v>
      </c>
    </row>
    <row r="35" customFormat="false" ht="15" hidden="false" customHeight="false" outlineLevel="0" collapsed="false">
      <c r="A35" s="10" t="n">
        <v>34</v>
      </c>
      <c r="B35" s="10" t="s">
        <v>108</v>
      </c>
      <c r="C35" s="10" t="s">
        <v>109</v>
      </c>
      <c r="D35" s="9" t="s">
        <v>60</v>
      </c>
      <c r="E35" s="11" t="n">
        <v>2098888</v>
      </c>
      <c r="F35" s="10" t="n">
        <v>4</v>
      </c>
      <c r="G35" s="10" t="n">
        <v>2</v>
      </c>
      <c r="H35" s="12" t="n">
        <v>1617</v>
      </c>
      <c r="I35" s="13" t="n">
        <f aca="false">E35/H35</f>
        <v>1298.01360544218</v>
      </c>
      <c r="J35" s="10" t="str">
        <f aca="false">IF(H35&gt;='Read me'!$B$6,"Yes","No")</f>
        <v>Yes</v>
      </c>
      <c r="K35" s="10" t="str">
        <f aca="false">IF(AND(F35&gt;=3,G35&gt;=2),"Yes","No")</f>
        <v>Yes</v>
      </c>
      <c r="L35" s="10" t="str">
        <f aca="false">IF(E35&lt;='Read me'!$B$4,"Yes",IF(E35&lt;='Read me'!$B$5,"Stretch","No"))</f>
        <v>Stretch</v>
      </c>
      <c r="M35" s="10" t="s">
        <v>110</v>
      </c>
    </row>
    <row r="36" customFormat="false" ht="15" hidden="false" customHeight="false" outlineLevel="0" collapsed="false">
      <c r="A36" s="10" t="n">
        <v>35</v>
      </c>
      <c r="B36" s="10" t="s">
        <v>108</v>
      </c>
      <c r="C36" s="10" t="s">
        <v>111</v>
      </c>
      <c r="D36" s="9" t="s">
        <v>60</v>
      </c>
      <c r="E36" s="11" t="n">
        <v>1578800</v>
      </c>
      <c r="F36" s="10" t="n">
        <v>3</v>
      </c>
      <c r="G36" s="10" t="n">
        <v>2</v>
      </c>
      <c r="H36" s="12" t="n">
        <v>1108</v>
      </c>
      <c r="I36" s="13" t="n">
        <f aca="false">E36/H36</f>
        <v>1424.90974729242</v>
      </c>
      <c r="J36" s="10" t="str">
        <f aca="false">IF(H36&gt;='Read me'!$B$6,"Yes","No")</f>
        <v>No</v>
      </c>
      <c r="K36" s="10" t="str">
        <f aca="false">IF(AND(F36&gt;=3,G36&gt;=2),"Yes","No")</f>
        <v>Yes</v>
      </c>
      <c r="L36" s="10" t="str">
        <f aca="false">IF(E36&lt;='Read me'!$B$4,"Yes",IF(E36&lt;='Read me'!$B$5,"Stretch","No"))</f>
        <v>Yes</v>
      </c>
      <c r="M36" s="10" t="s">
        <v>65</v>
      </c>
    </row>
    <row r="37" customFormat="false" ht="15" hidden="false" customHeight="false" outlineLevel="0" collapsed="false">
      <c r="A37" s="10" t="n">
        <v>36</v>
      </c>
      <c r="B37" s="10" t="s">
        <v>108</v>
      </c>
      <c r="C37" s="10" t="s">
        <v>112</v>
      </c>
      <c r="D37" s="9" t="s">
        <v>60</v>
      </c>
      <c r="E37" s="11" t="n">
        <v>2098000</v>
      </c>
      <c r="F37" s="10" t="n">
        <v>3</v>
      </c>
      <c r="G37" s="10" t="n">
        <v>2</v>
      </c>
      <c r="H37" s="12" t="n">
        <v>1585</v>
      </c>
      <c r="I37" s="13" t="n">
        <f aca="false">E37/H37</f>
        <v>1323.65930599369</v>
      </c>
      <c r="J37" s="10" t="str">
        <f aca="false">IF(H37&gt;='Read me'!$B$6,"Yes","No")</f>
        <v>Yes</v>
      </c>
      <c r="K37" s="10" t="str">
        <f aca="false">IF(AND(F37&gt;=3,G37&gt;=2),"Yes","No")</f>
        <v>Yes</v>
      </c>
      <c r="L37" s="10" t="str">
        <f aca="false">IF(E37&lt;='Read me'!$B$4,"Yes",IF(E37&lt;='Read me'!$B$5,"Stretch","No"))</f>
        <v>Stretch</v>
      </c>
      <c r="M37" s="10" t="s">
        <v>113</v>
      </c>
    </row>
    <row r="38" customFormat="false" ht="15" hidden="false" customHeight="false" outlineLevel="0" collapsed="false">
      <c r="A38" s="10" t="n">
        <v>37</v>
      </c>
      <c r="B38" s="10" t="s">
        <v>108</v>
      </c>
      <c r="C38" s="10" t="s">
        <v>114</v>
      </c>
      <c r="D38" s="9" t="s">
        <v>60</v>
      </c>
      <c r="E38" s="11" t="n">
        <v>1468000</v>
      </c>
      <c r="F38" s="10" t="n">
        <v>3</v>
      </c>
      <c r="G38" s="10" t="n">
        <v>1.5</v>
      </c>
      <c r="H38" s="12" t="n">
        <v>1085</v>
      </c>
      <c r="I38" s="13" t="n">
        <f aca="false">E38/H38</f>
        <v>1352.99539170507</v>
      </c>
      <c r="J38" s="10" t="str">
        <f aca="false">IF(H38&gt;='Read me'!$B$6,"Yes","No")</f>
        <v>No</v>
      </c>
      <c r="K38" s="10" t="str">
        <f aca="false">IF(AND(F38&gt;=3,G38&gt;=2),"Yes","No")</f>
        <v>No</v>
      </c>
      <c r="L38" s="10" t="str">
        <f aca="false">IF(E38&lt;='Read me'!$B$4,"Yes",IF(E38&lt;='Read me'!$B$5,"Stretch","No"))</f>
        <v>Yes</v>
      </c>
      <c r="M38" s="10" t="s">
        <v>65</v>
      </c>
    </row>
    <row r="39" customFormat="false" ht="15" hidden="false" customHeight="false" outlineLevel="0" collapsed="false">
      <c r="A39" s="10" t="n">
        <v>38</v>
      </c>
      <c r="B39" s="10" t="s">
        <v>108</v>
      </c>
      <c r="C39" s="10" t="s">
        <v>115</v>
      </c>
      <c r="D39" s="9" t="s">
        <v>60</v>
      </c>
      <c r="E39" s="11" t="n">
        <v>1988000</v>
      </c>
      <c r="F39" s="10" t="n">
        <v>5</v>
      </c>
      <c r="G39" s="10" t="n">
        <v>4</v>
      </c>
      <c r="H39" s="12" t="n">
        <v>2428</v>
      </c>
      <c r="I39" s="13" t="n">
        <f aca="false">E39/H39</f>
        <v>818.780889621087</v>
      </c>
      <c r="J39" s="10" t="str">
        <f aca="false">IF(H39&gt;='Read me'!$B$6,"Yes","No")</f>
        <v>Yes</v>
      </c>
      <c r="K39" s="10" t="str">
        <f aca="false">IF(AND(F39&gt;=3,G39&gt;=2),"Yes","No")</f>
        <v>Yes</v>
      </c>
      <c r="L39" s="10" t="str">
        <f aca="false">IF(E39&lt;='Read me'!$B$4,"Yes",IF(E39&lt;='Read me'!$B$5,"Stretch","No"))</f>
        <v>Yes</v>
      </c>
      <c r="M39" s="10" t="s">
        <v>116</v>
      </c>
    </row>
    <row r="40" customFormat="false" ht="15" hidden="false" customHeight="false" outlineLevel="0" collapsed="false">
      <c r="A40" s="10" t="n">
        <v>39</v>
      </c>
      <c r="B40" s="10" t="s">
        <v>108</v>
      </c>
      <c r="C40" s="10" t="s">
        <v>117</v>
      </c>
      <c r="D40" s="9" t="s">
        <v>60</v>
      </c>
      <c r="E40" s="11" t="n">
        <v>1898500</v>
      </c>
      <c r="F40" s="10" t="n">
        <v>3</v>
      </c>
      <c r="G40" s="10" t="n">
        <v>2</v>
      </c>
      <c r="H40" s="12" t="n">
        <v>1640</v>
      </c>
      <c r="I40" s="13" t="n">
        <f aca="false">E40/H40</f>
        <v>1157.62195121951</v>
      </c>
      <c r="J40" s="10" t="str">
        <f aca="false">IF(H40&gt;='Read me'!$B$6,"Yes","No")</f>
        <v>Yes</v>
      </c>
      <c r="K40" s="10" t="str">
        <f aca="false">IF(AND(F40&gt;=3,G40&gt;=2),"Yes","No")</f>
        <v>Yes</v>
      </c>
      <c r="L40" s="10" t="str">
        <f aca="false">IF(E40&lt;='Read me'!$B$4,"Yes",IF(E40&lt;='Read me'!$B$5,"Stretch","No"))</f>
        <v>Yes</v>
      </c>
      <c r="M40" s="10" t="s">
        <v>118</v>
      </c>
    </row>
    <row r="41" customFormat="false" ht="15" hidden="false" customHeight="false" outlineLevel="0" collapsed="false">
      <c r="A41" s="10" t="n">
        <v>40</v>
      </c>
      <c r="B41" s="10" t="s">
        <v>108</v>
      </c>
      <c r="C41" s="10" t="s">
        <v>119</v>
      </c>
      <c r="D41" s="9" t="s">
        <v>60</v>
      </c>
      <c r="E41" s="11" t="n">
        <v>1999990</v>
      </c>
      <c r="F41" s="10" t="n">
        <v>3</v>
      </c>
      <c r="G41" s="10" t="n">
        <v>2.5</v>
      </c>
      <c r="H41" s="12" t="n">
        <v>1354</v>
      </c>
      <c r="I41" s="13" t="n">
        <f aca="false">E41/H41</f>
        <v>1477.09748892171</v>
      </c>
      <c r="J41" s="10" t="str">
        <f aca="false">IF(H41&gt;='Read me'!$B$6,"Yes","No")</f>
        <v>No</v>
      </c>
      <c r="K41" s="10" t="str">
        <f aca="false">IF(AND(F41&gt;=3,G41&gt;=2),"Yes","No")</f>
        <v>Yes</v>
      </c>
      <c r="L41" s="10" t="str">
        <f aca="false">IF(E41&lt;='Read me'!$B$4,"Yes",IF(E41&lt;='Read me'!$B$5,"Stretch","No"))</f>
        <v>Yes</v>
      </c>
      <c r="M41" s="10" t="s">
        <v>65</v>
      </c>
    </row>
    <row r="42" customFormat="false" ht="15" hidden="false" customHeight="false" outlineLevel="0" collapsed="false">
      <c r="A42" s="10" t="n">
        <v>41</v>
      </c>
      <c r="B42" s="10" t="s">
        <v>108</v>
      </c>
      <c r="C42" s="10" t="s">
        <v>120</v>
      </c>
      <c r="D42" s="9" t="s">
        <v>60</v>
      </c>
      <c r="E42" s="11" t="n">
        <v>1499888</v>
      </c>
      <c r="F42" s="10" t="n">
        <v>3</v>
      </c>
      <c r="G42" s="10" t="n">
        <v>2</v>
      </c>
      <c r="H42" s="12" t="n">
        <v>1528</v>
      </c>
      <c r="I42" s="13" t="n">
        <f aca="false">E42/H42</f>
        <v>981.602094240838</v>
      </c>
      <c r="J42" s="10" t="str">
        <f aca="false">IF(H42&gt;='Read me'!$B$6,"Yes","No")</f>
        <v>Yes</v>
      </c>
      <c r="K42" s="10" t="str">
        <f aca="false">IF(AND(F42&gt;=3,G42&gt;=2),"Yes","No")</f>
        <v>Yes</v>
      </c>
      <c r="L42" s="10" t="str">
        <f aca="false">IF(E42&lt;='Read me'!$B$4,"Yes",IF(E42&lt;='Read me'!$B$5,"Stretch","No"))</f>
        <v>Yes</v>
      </c>
      <c r="M42" s="10" t="s">
        <v>121</v>
      </c>
    </row>
    <row r="43" customFormat="false" ht="15" hidden="false" customHeight="false" outlineLevel="0" collapsed="false">
      <c r="A43" s="10" t="n">
        <v>42</v>
      </c>
      <c r="B43" s="10" t="s">
        <v>108</v>
      </c>
      <c r="C43" s="10" t="s">
        <v>122</v>
      </c>
      <c r="D43" s="9" t="s">
        <v>60</v>
      </c>
      <c r="E43" s="11" t="n">
        <v>1898888</v>
      </c>
      <c r="F43" s="10" t="n">
        <v>3</v>
      </c>
      <c r="G43" s="10" t="n">
        <v>2</v>
      </c>
      <c r="H43" s="12" t="n">
        <v>1313</v>
      </c>
      <c r="I43" s="13" t="n">
        <f aca="false">E43/H43</f>
        <v>1446.22086824067</v>
      </c>
      <c r="J43" s="10" t="str">
        <f aca="false">IF(H43&gt;='Read me'!$B$6,"Yes","No")</f>
        <v>No</v>
      </c>
      <c r="K43" s="10" t="str">
        <f aca="false">IF(AND(F43&gt;=3,G43&gt;=2),"Yes","No")</f>
        <v>Yes</v>
      </c>
      <c r="L43" s="10" t="str">
        <f aca="false">IF(E43&lt;='Read me'!$B$4,"Yes",IF(E43&lt;='Read me'!$B$5,"Stretch","No"))</f>
        <v>Yes</v>
      </c>
      <c r="M43" s="10" t="s">
        <v>65</v>
      </c>
    </row>
    <row r="44" customFormat="false" ht="15" hidden="false" customHeight="false" outlineLevel="0" collapsed="false">
      <c r="A44" s="10" t="n">
        <v>43</v>
      </c>
      <c r="B44" s="10" t="s">
        <v>108</v>
      </c>
      <c r="C44" s="10" t="s">
        <v>123</v>
      </c>
      <c r="D44" s="9" t="s">
        <v>60</v>
      </c>
      <c r="E44" s="11" t="n">
        <v>1638000</v>
      </c>
      <c r="F44" s="10" t="n">
        <v>3</v>
      </c>
      <c r="G44" s="10" t="n">
        <v>1.5</v>
      </c>
      <c r="H44" s="12" t="n">
        <v>1073</v>
      </c>
      <c r="I44" s="13" t="n">
        <f aca="false">E44/H44</f>
        <v>1526.56104380242</v>
      </c>
      <c r="J44" s="10" t="str">
        <f aca="false">IF(H44&gt;='Read me'!$B$6,"Yes","No")</f>
        <v>No</v>
      </c>
      <c r="K44" s="10" t="str">
        <f aca="false">IF(AND(F44&gt;=3,G44&gt;=2),"Yes","No")</f>
        <v>No</v>
      </c>
      <c r="L44" s="10" t="str">
        <f aca="false">IF(E44&lt;='Read me'!$B$4,"Yes",IF(E44&lt;='Read me'!$B$5,"Stretch","No"))</f>
        <v>Yes</v>
      </c>
      <c r="M44" s="10" t="s">
        <v>65</v>
      </c>
    </row>
    <row r="45" customFormat="false" ht="15" hidden="false" customHeight="false" outlineLevel="0" collapsed="false">
      <c r="A45" s="10" t="n">
        <v>44</v>
      </c>
      <c r="B45" s="10" t="s">
        <v>108</v>
      </c>
      <c r="C45" s="10" t="s">
        <v>124</v>
      </c>
      <c r="D45" s="9" t="s">
        <v>60</v>
      </c>
      <c r="E45" s="11" t="n">
        <v>1890000</v>
      </c>
      <c r="F45" s="10" t="n">
        <v>3</v>
      </c>
      <c r="G45" s="10" t="n">
        <v>2</v>
      </c>
      <c r="H45" s="12" t="n">
        <v>1516</v>
      </c>
      <c r="I45" s="13" t="n">
        <f aca="false">E45/H45</f>
        <v>1246.7018469657</v>
      </c>
      <c r="J45" s="10" t="str">
        <f aca="false">IF(H45&gt;='Read me'!$B$6,"Yes","No")</f>
        <v>Yes</v>
      </c>
      <c r="K45" s="10" t="str">
        <f aca="false">IF(AND(F45&gt;=3,G45&gt;=2),"Yes","No")</f>
        <v>Yes</v>
      </c>
      <c r="L45" s="10" t="str">
        <f aca="false">IF(E45&lt;='Read me'!$B$4,"Yes",IF(E45&lt;='Read me'!$B$5,"Stretch","No"))</f>
        <v>Yes</v>
      </c>
      <c r="M45" s="10" t="s">
        <v>125</v>
      </c>
    </row>
    <row r="46" customFormat="false" ht="15" hidden="false" customHeight="false" outlineLevel="0" collapsed="false">
      <c r="A46" s="10" t="n">
        <v>45</v>
      </c>
      <c r="B46" s="10" t="s">
        <v>108</v>
      </c>
      <c r="C46" s="10" t="s">
        <v>126</v>
      </c>
      <c r="D46" s="9" t="s">
        <v>60</v>
      </c>
      <c r="E46" s="11" t="n">
        <v>1658000</v>
      </c>
      <c r="F46" s="10" t="n">
        <v>3</v>
      </c>
      <c r="G46" s="10" t="n">
        <v>2</v>
      </c>
      <c r="H46" s="12" t="n">
        <v>1168</v>
      </c>
      <c r="I46" s="13" t="n">
        <f aca="false">E46/H46</f>
        <v>1419.52054794521</v>
      </c>
      <c r="J46" s="10" t="str">
        <f aca="false">IF(H46&gt;='Read me'!$B$6,"Yes","No")</f>
        <v>No</v>
      </c>
      <c r="K46" s="10" t="str">
        <f aca="false">IF(AND(F46&gt;=3,G46&gt;=2),"Yes","No")</f>
        <v>Yes</v>
      </c>
      <c r="L46" s="10" t="str">
        <f aca="false">IF(E46&lt;='Read me'!$B$4,"Yes",IF(E46&lt;='Read me'!$B$5,"Stretch","No"))</f>
        <v>Yes</v>
      </c>
      <c r="M46" s="10" t="s">
        <v>65</v>
      </c>
    </row>
    <row r="47" customFormat="false" ht="15" hidden="false" customHeight="false" outlineLevel="0" collapsed="false">
      <c r="A47" s="10" t="n">
        <v>46</v>
      </c>
      <c r="B47" s="10" t="s">
        <v>108</v>
      </c>
      <c r="C47" s="10" t="s">
        <v>127</v>
      </c>
      <c r="D47" s="9" t="s">
        <v>60</v>
      </c>
      <c r="E47" s="11" t="n">
        <v>1888000</v>
      </c>
      <c r="F47" s="10" t="n">
        <v>5</v>
      </c>
      <c r="G47" s="10" t="n">
        <v>3</v>
      </c>
      <c r="H47" s="12" t="n">
        <v>1538</v>
      </c>
      <c r="I47" s="13" t="n">
        <f aca="false">E47/H47</f>
        <v>1227.56827048114</v>
      </c>
      <c r="J47" s="10" t="str">
        <f aca="false">IF(H47&gt;='Read me'!$B$6,"Yes","No")</f>
        <v>Yes</v>
      </c>
      <c r="K47" s="10" t="str">
        <f aca="false">IF(AND(F47&gt;=3,G47&gt;=2),"Yes","No")</f>
        <v>Yes</v>
      </c>
      <c r="L47" s="10" t="str">
        <f aca="false">IF(E47&lt;='Read me'!$B$4,"Yes",IF(E47&lt;='Read me'!$B$5,"Stretch","No"))</f>
        <v>Yes</v>
      </c>
      <c r="M47" s="10" t="s">
        <v>128</v>
      </c>
    </row>
    <row r="48" customFormat="false" ht="15" hidden="false" customHeight="false" outlineLevel="0" collapsed="false">
      <c r="A48" s="10" t="n">
        <v>47</v>
      </c>
      <c r="B48" s="10" t="s">
        <v>108</v>
      </c>
      <c r="C48" s="10" t="s">
        <v>129</v>
      </c>
      <c r="D48" s="9" t="s">
        <v>60</v>
      </c>
      <c r="E48" s="11" t="n">
        <v>1998000</v>
      </c>
      <c r="F48" s="10" t="n">
        <v>3</v>
      </c>
      <c r="G48" s="10" t="n">
        <v>2.5</v>
      </c>
      <c r="H48" s="12" t="n">
        <v>1552</v>
      </c>
      <c r="I48" s="13" t="n">
        <f aca="false">E48/H48</f>
        <v>1287.37113402062</v>
      </c>
      <c r="J48" s="10" t="str">
        <f aca="false">IF(H48&gt;='Read me'!$B$6,"Yes","No")</f>
        <v>Yes</v>
      </c>
      <c r="K48" s="10" t="str">
        <f aca="false">IF(AND(F48&gt;=3,G48&gt;=2),"Yes","No")</f>
        <v>Yes</v>
      </c>
      <c r="L48" s="10" t="str">
        <f aca="false">IF(E48&lt;='Read me'!$B$4,"Yes",IF(E48&lt;='Read me'!$B$5,"Stretch","No"))</f>
        <v>Yes</v>
      </c>
      <c r="M48" s="10" t="s">
        <v>130</v>
      </c>
    </row>
    <row r="49" customFormat="false" ht="15" hidden="false" customHeight="false" outlineLevel="0" collapsed="false">
      <c r="A49" s="10" t="n">
        <v>48</v>
      </c>
      <c r="B49" s="10" t="s">
        <v>131</v>
      </c>
      <c r="C49" s="10" t="s">
        <v>132</v>
      </c>
      <c r="D49" s="9" t="s">
        <v>60</v>
      </c>
      <c r="E49" s="11" t="n">
        <v>1998000</v>
      </c>
      <c r="F49" s="10" t="n">
        <v>3</v>
      </c>
      <c r="G49" s="10" t="n">
        <v>2</v>
      </c>
      <c r="H49" s="12" t="n">
        <v>1331</v>
      </c>
      <c r="I49" s="13" t="n">
        <f aca="false">E49/H49</f>
        <v>1501.12697220135</v>
      </c>
      <c r="J49" s="10" t="str">
        <f aca="false">IF(H49&gt;='Read me'!$B$6,"Yes","No")</f>
        <v>No</v>
      </c>
      <c r="K49" s="10" t="str">
        <f aca="false">IF(AND(F49&gt;=3,G49&gt;=2),"Yes","No")</f>
        <v>Yes</v>
      </c>
      <c r="L49" s="10" t="str">
        <f aca="false">IF(E49&lt;='Read me'!$B$4,"Yes",IF(E49&lt;='Read me'!$B$5,"Stretch","No"))</f>
        <v>Yes</v>
      </c>
      <c r="M49" s="10" t="s">
        <v>65</v>
      </c>
    </row>
    <row r="50" customFormat="false" ht="15" hidden="false" customHeight="false" outlineLevel="0" collapsed="false">
      <c r="A50" s="10" t="n">
        <v>49</v>
      </c>
      <c r="B50" s="10" t="s">
        <v>131</v>
      </c>
      <c r="C50" s="10" t="s">
        <v>133</v>
      </c>
      <c r="D50" s="9" t="s">
        <v>60</v>
      </c>
      <c r="E50" s="11" t="n">
        <v>1799999</v>
      </c>
      <c r="F50" s="10" t="n">
        <v>3</v>
      </c>
      <c r="G50" s="10" t="n">
        <v>2</v>
      </c>
      <c r="H50" s="12" t="n">
        <v>1104</v>
      </c>
      <c r="I50" s="13" t="n">
        <f aca="false">E50/H50</f>
        <v>1630.43387681159</v>
      </c>
      <c r="J50" s="10" t="str">
        <f aca="false">IF(H50&gt;='Read me'!$B$6,"Yes","No")</f>
        <v>No</v>
      </c>
      <c r="K50" s="10" t="str">
        <f aca="false">IF(AND(F50&gt;=3,G50&gt;=2),"Yes","No")</f>
        <v>Yes</v>
      </c>
      <c r="L50" s="10" t="str">
        <f aca="false">IF(E50&lt;='Read me'!$B$4,"Yes",IF(E50&lt;='Read me'!$B$5,"Stretch","No"))</f>
        <v>Yes</v>
      </c>
      <c r="M50" s="10" t="s">
        <v>65</v>
      </c>
    </row>
    <row r="51" customFormat="false" ht="15" hidden="false" customHeight="false" outlineLevel="0" collapsed="false">
      <c r="A51" s="10" t="n">
        <v>50</v>
      </c>
      <c r="B51" s="10" t="s">
        <v>131</v>
      </c>
      <c r="C51" s="10" t="s">
        <v>134</v>
      </c>
      <c r="D51" s="9" t="s">
        <v>60</v>
      </c>
      <c r="E51" s="11" t="n">
        <v>1988000</v>
      </c>
      <c r="F51" s="10" t="n">
        <v>3</v>
      </c>
      <c r="G51" s="10" t="n">
        <v>3.5</v>
      </c>
      <c r="H51" s="12" t="n">
        <v>1781</v>
      </c>
      <c r="I51" s="13" t="n">
        <f aca="false">E51/H51</f>
        <v>1116.22683885458</v>
      </c>
      <c r="J51" s="10" t="str">
        <f aca="false">IF(H51&gt;='Read me'!$B$6,"Yes","No")</f>
        <v>Yes</v>
      </c>
      <c r="K51" s="10" t="str">
        <f aca="false">IF(AND(F51&gt;=3,G51&gt;=2),"Yes","No")</f>
        <v>Yes</v>
      </c>
      <c r="L51" s="10" t="str">
        <f aca="false">IF(E51&lt;='Read me'!$B$4,"Yes",IF(E51&lt;='Read me'!$B$5,"Stretch","No"))</f>
        <v>Yes</v>
      </c>
      <c r="M51" s="10" t="s">
        <v>135</v>
      </c>
    </row>
    <row r="52" customFormat="false" ht="15" hidden="false" customHeight="false" outlineLevel="0" collapsed="false">
      <c r="A52" s="10" t="n">
        <v>51</v>
      </c>
      <c r="B52" s="10" t="s">
        <v>131</v>
      </c>
      <c r="C52" s="10" t="s">
        <v>136</v>
      </c>
      <c r="D52" s="9" t="s">
        <v>60</v>
      </c>
      <c r="E52" s="11" t="n">
        <v>1750000</v>
      </c>
      <c r="F52" s="10" t="n">
        <v>4</v>
      </c>
      <c r="G52" s="10" t="n">
        <v>4</v>
      </c>
      <c r="H52" s="12" t="n">
        <v>1751</v>
      </c>
      <c r="I52" s="13" t="n">
        <f aca="false">E52/H52</f>
        <v>999.428897772701</v>
      </c>
      <c r="J52" s="10" t="str">
        <f aca="false">IF(H52&gt;='Read me'!$B$6,"Yes","No")</f>
        <v>Yes</v>
      </c>
      <c r="K52" s="10" t="str">
        <f aca="false">IF(AND(F52&gt;=3,G52&gt;=2),"Yes","No")</f>
        <v>Yes</v>
      </c>
      <c r="L52" s="10" t="str">
        <f aca="false">IF(E52&lt;='Read me'!$B$4,"Yes",IF(E52&lt;='Read me'!$B$5,"Stretch","No"))</f>
        <v>Yes</v>
      </c>
      <c r="M52" s="10" t="s">
        <v>137</v>
      </c>
    </row>
    <row r="53" customFormat="false" ht="15" hidden="false" customHeight="false" outlineLevel="0" collapsed="false">
      <c r="A53" s="10" t="n">
        <v>52</v>
      </c>
      <c r="B53" s="10" t="s">
        <v>131</v>
      </c>
      <c r="C53" s="10" t="s">
        <v>138</v>
      </c>
      <c r="D53" s="9" t="s">
        <v>60</v>
      </c>
      <c r="E53" s="11" t="n">
        <v>1599000</v>
      </c>
      <c r="F53" s="10" t="n">
        <v>3</v>
      </c>
      <c r="G53" s="10" t="n">
        <v>2.5</v>
      </c>
      <c r="H53" s="12" t="n">
        <v>1375</v>
      </c>
      <c r="I53" s="13" t="n">
        <f aca="false">E53/H53</f>
        <v>1162.90909090909</v>
      </c>
      <c r="J53" s="10" t="str">
        <f aca="false">IF(H53&gt;='Read me'!$B$6,"Yes","No")</f>
        <v>No</v>
      </c>
      <c r="K53" s="10" t="str">
        <f aca="false">IF(AND(F53&gt;=3,G53&gt;=2),"Yes","No")</f>
        <v>Yes</v>
      </c>
      <c r="L53" s="10" t="str">
        <f aca="false">IF(E53&lt;='Read me'!$B$4,"Yes",IF(E53&lt;='Read me'!$B$5,"Stretch","No"))</f>
        <v>Yes</v>
      </c>
      <c r="M53" s="10" t="s">
        <v>65</v>
      </c>
    </row>
    <row r="54" customFormat="false" ht="15" hidden="false" customHeight="false" outlineLevel="0" collapsed="false">
      <c r="A54" s="10" t="n">
        <v>53</v>
      </c>
      <c r="B54" s="10" t="s">
        <v>131</v>
      </c>
      <c r="C54" s="10" t="s">
        <v>139</v>
      </c>
      <c r="D54" s="9" t="s">
        <v>60</v>
      </c>
      <c r="E54" s="11" t="n">
        <v>1988888</v>
      </c>
      <c r="F54" s="10" t="n">
        <v>3</v>
      </c>
      <c r="G54" s="10" t="n">
        <v>2</v>
      </c>
      <c r="H54" s="12" t="n">
        <v>1080</v>
      </c>
      <c r="I54" s="13" t="n">
        <f aca="false">E54/H54</f>
        <v>1841.56296296296</v>
      </c>
      <c r="J54" s="10" t="str">
        <f aca="false">IF(H54&gt;='Read me'!$B$6,"Yes","No")</f>
        <v>No</v>
      </c>
      <c r="K54" s="10" t="str">
        <f aca="false">IF(AND(F54&gt;=3,G54&gt;=2),"Yes","No")</f>
        <v>Yes</v>
      </c>
      <c r="L54" s="10" t="str">
        <f aca="false">IF(E54&lt;='Read me'!$B$4,"Yes",IF(E54&lt;='Read me'!$B$5,"Stretch","No"))</f>
        <v>Yes</v>
      </c>
      <c r="M54" s="10" t="s">
        <v>65</v>
      </c>
    </row>
    <row r="55" customFormat="false" ht="15" hidden="false" customHeight="false" outlineLevel="0" collapsed="false">
      <c r="A55" s="10" t="n">
        <v>54</v>
      </c>
      <c r="B55" s="10" t="s">
        <v>140</v>
      </c>
      <c r="C55" s="10" t="s">
        <v>141</v>
      </c>
      <c r="D55" s="9" t="s">
        <v>60</v>
      </c>
      <c r="E55" s="11" t="n">
        <v>1775000</v>
      </c>
      <c r="F55" s="10" t="n">
        <v>3</v>
      </c>
      <c r="G55" s="10" t="n">
        <v>2.5</v>
      </c>
      <c r="H55" s="12" t="n">
        <v>1828</v>
      </c>
      <c r="I55" s="13" t="n">
        <f aca="false">E55/H55</f>
        <v>971.006564551422</v>
      </c>
      <c r="J55" s="10" t="str">
        <f aca="false">IF(H55&gt;='Read me'!$B$6,"Yes","No")</f>
        <v>Yes</v>
      </c>
      <c r="K55" s="10" t="str">
        <f aca="false">IF(AND(F55&gt;=3,G55&gt;=2),"Yes","No")</f>
        <v>Yes</v>
      </c>
      <c r="L55" s="10" t="str">
        <f aca="false">IF(E55&lt;='Read me'!$B$4,"Yes",IF(E55&lt;='Read me'!$B$5,"Stretch","No"))</f>
        <v>Yes</v>
      </c>
      <c r="M55" s="10" t="s">
        <v>142</v>
      </c>
    </row>
    <row r="56" customFormat="false" ht="26.85" hidden="false" customHeight="false" outlineLevel="0" collapsed="false">
      <c r="A56" s="10" t="n">
        <v>55</v>
      </c>
      <c r="B56" s="10" t="s">
        <v>140</v>
      </c>
      <c r="C56" s="10" t="s">
        <v>143</v>
      </c>
      <c r="D56" s="9" t="s">
        <v>60</v>
      </c>
      <c r="E56" s="11" t="n">
        <v>1488000</v>
      </c>
      <c r="F56" s="10" t="n">
        <v>3</v>
      </c>
      <c r="G56" s="10" t="n">
        <v>3.5</v>
      </c>
      <c r="H56" s="12" t="n">
        <v>1827</v>
      </c>
      <c r="I56" s="13" t="n">
        <f aca="false">E56/H56</f>
        <v>814.449917898194</v>
      </c>
      <c r="J56" s="10" t="str">
        <f aca="false">IF(H56&gt;='Read me'!$B$6,"Yes","No")</f>
        <v>Yes</v>
      </c>
      <c r="K56" s="10" t="str">
        <f aca="false">IF(AND(F56&gt;=3,G56&gt;=2),"Yes","No")</f>
        <v>Yes</v>
      </c>
      <c r="L56" s="10" t="str">
        <f aca="false">IF(E56&lt;='Read me'!$B$4,"Yes",IF(E56&lt;='Read me'!$B$5,"Stretch","No"))</f>
        <v>Yes</v>
      </c>
      <c r="M56" s="10" t="s">
        <v>144</v>
      </c>
    </row>
    <row r="57" customFormat="false" ht="26.85" hidden="false" customHeight="false" outlineLevel="0" collapsed="false">
      <c r="A57" s="10" t="n">
        <v>56</v>
      </c>
      <c r="B57" s="10" t="s">
        <v>140</v>
      </c>
      <c r="C57" s="10" t="s">
        <v>145</v>
      </c>
      <c r="D57" s="9" t="s">
        <v>60</v>
      </c>
      <c r="E57" s="11" t="n">
        <v>1568000</v>
      </c>
      <c r="F57" s="10" t="n">
        <v>4</v>
      </c>
      <c r="G57" s="10" t="n">
        <v>3.5</v>
      </c>
      <c r="H57" s="12" t="n">
        <v>1987</v>
      </c>
      <c r="I57" s="13" t="n">
        <f aca="false">E57/H57</f>
        <v>789.129340714645</v>
      </c>
      <c r="J57" s="10" t="str">
        <f aca="false">IF(H57&gt;='Read me'!$B$6,"Yes","No")</f>
        <v>Yes</v>
      </c>
      <c r="K57" s="10" t="str">
        <f aca="false">IF(AND(F57&gt;=3,G57&gt;=2),"Yes","No")</f>
        <v>Yes</v>
      </c>
      <c r="L57" s="10" t="str">
        <f aca="false">IF(E57&lt;='Read me'!$B$4,"Yes",IF(E57&lt;='Read me'!$B$5,"Stretch","No"))</f>
        <v>Yes</v>
      </c>
      <c r="M57" s="10" t="s">
        <v>146</v>
      </c>
    </row>
    <row r="58" customFormat="false" ht="26.85" hidden="false" customHeight="false" outlineLevel="0" collapsed="false">
      <c r="A58" s="10" t="n">
        <v>57</v>
      </c>
      <c r="B58" s="10" t="s">
        <v>140</v>
      </c>
      <c r="C58" s="10" t="s">
        <v>147</v>
      </c>
      <c r="D58" s="9" t="s">
        <v>60</v>
      </c>
      <c r="E58" s="11" t="n">
        <v>1798000</v>
      </c>
      <c r="F58" s="10" t="n">
        <v>4</v>
      </c>
      <c r="G58" s="10" t="n">
        <v>3.5</v>
      </c>
      <c r="H58" s="12" t="n">
        <v>2315</v>
      </c>
      <c r="I58" s="13" t="n">
        <f aca="false">E58/H58</f>
        <v>776.673866090713</v>
      </c>
      <c r="J58" s="10" t="str">
        <f aca="false">IF(H58&gt;='Read me'!$B$6,"Yes","No")</f>
        <v>Yes</v>
      </c>
      <c r="K58" s="10" t="str">
        <f aca="false">IF(AND(F58&gt;=3,G58&gt;=2),"Yes","No")</f>
        <v>Yes</v>
      </c>
      <c r="L58" s="10" t="str">
        <f aca="false">IF(E58&lt;='Read me'!$B$4,"Yes",IF(E58&lt;='Read me'!$B$5,"Stretch","No"))</f>
        <v>Yes</v>
      </c>
      <c r="M58" s="10" t="s">
        <v>148</v>
      </c>
    </row>
    <row r="59" customFormat="false" ht="15" hidden="false" customHeight="false" outlineLevel="0" collapsed="false">
      <c r="A59" s="10" t="n">
        <v>58</v>
      </c>
      <c r="B59" s="10" t="s">
        <v>140</v>
      </c>
      <c r="C59" s="10" t="s">
        <v>149</v>
      </c>
      <c r="D59" s="9" t="s">
        <v>60</v>
      </c>
      <c r="E59" s="11" t="n">
        <v>1290000</v>
      </c>
      <c r="F59" s="10" t="n">
        <v>4</v>
      </c>
      <c r="G59" s="10" t="n">
        <v>2.5</v>
      </c>
      <c r="H59" s="12" t="n">
        <v>1981</v>
      </c>
      <c r="I59" s="13" t="n">
        <f aca="false">E59/H59</f>
        <v>651.186269560828</v>
      </c>
      <c r="J59" s="10" t="str">
        <f aca="false">IF(H59&gt;='Read me'!$B$6,"Yes","No")</f>
        <v>Yes</v>
      </c>
      <c r="K59" s="10" t="str">
        <f aca="false">IF(AND(F59&gt;=3,G59&gt;=2),"Yes","No")</f>
        <v>Yes</v>
      </c>
      <c r="L59" s="10" t="str">
        <f aca="false">IF(E59&lt;='Read me'!$B$4,"Yes",IF(E59&lt;='Read me'!$B$5,"Stretch","No"))</f>
        <v>Yes</v>
      </c>
      <c r="M59" s="10" t="s">
        <v>150</v>
      </c>
    </row>
    <row r="60" customFormat="false" ht="15" hidden="false" customHeight="false" outlineLevel="0" collapsed="false">
      <c r="A60" s="10" t="n">
        <v>59</v>
      </c>
      <c r="B60" s="10" t="s">
        <v>140</v>
      </c>
      <c r="C60" s="10" t="s">
        <v>151</v>
      </c>
      <c r="D60" s="9" t="s">
        <v>60</v>
      </c>
      <c r="E60" s="11" t="n">
        <v>1650000</v>
      </c>
      <c r="F60" s="10" t="n">
        <v>3</v>
      </c>
      <c r="G60" s="10" t="n">
        <v>2.5</v>
      </c>
      <c r="H60" s="12" t="n">
        <v>1538</v>
      </c>
      <c r="I60" s="13" t="n">
        <f aca="false">E60/H60</f>
        <v>1072.82184655397</v>
      </c>
      <c r="J60" s="10" t="str">
        <f aca="false">IF(H60&gt;='Read me'!$B$6,"Yes","No")</f>
        <v>Yes</v>
      </c>
      <c r="K60" s="10" t="str">
        <f aca="false">IF(AND(F60&gt;=3,G60&gt;=2),"Yes","No")</f>
        <v>Yes</v>
      </c>
      <c r="L60" s="10" t="str">
        <f aca="false">IF(E60&lt;='Read me'!$B$4,"Yes",IF(E60&lt;='Read me'!$B$5,"Stretch","No"))</f>
        <v>Yes</v>
      </c>
      <c r="M60" s="10" t="s">
        <v>152</v>
      </c>
    </row>
    <row r="61" customFormat="false" ht="15" hidden="false" customHeight="false" outlineLevel="0" collapsed="false">
      <c r="A61" s="10" t="n">
        <v>60</v>
      </c>
      <c r="B61" s="10" t="s">
        <v>140</v>
      </c>
      <c r="C61" s="10" t="s">
        <v>153</v>
      </c>
      <c r="D61" s="9" t="s">
        <v>60</v>
      </c>
      <c r="E61" s="11" t="n">
        <v>1598000</v>
      </c>
      <c r="F61" s="10" t="n">
        <v>3</v>
      </c>
      <c r="G61" s="10" t="n">
        <v>2.5</v>
      </c>
      <c r="H61" s="12" t="n">
        <v>1828</v>
      </c>
      <c r="I61" s="13" t="n">
        <f aca="false">E61/H61</f>
        <v>874.17943107221</v>
      </c>
      <c r="J61" s="10" t="str">
        <f aca="false">IF(H61&gt;='Read me'!$B$6,"Yes","No")</f>
        <v>Yes</v>
      </c>
      <c r="K61" s="10" t="str">
        <f aca="false">IF(AND(F61&gt;=3,G61&gt;=2),"Yes","No")</f>
        <v>Yes</v>
      </c>
      <c r="L61" s="10" t="str">
        <f aca="false">IF(E61&lt;='Read me'!$B$4,"Yes",IF(E61&lt;='Read me'!$B$5,"Stretch","No"))</f>
        <v>Yes</v>
      </c>
      <c r="M61" s="10" t="s">
        <v>154</v>
      </c>
    </row>
    <row r="62" customFormat="false" ht="15" hidden="false" customHeight="false" outlineLevel="0" collapsed="false">
      <c r="A62" s="10" t="n">
        <v>61</v>
      </c>
      <c r="B62" s="10" t="s">
        <v>140</v>
      </c>
      <c r="C62" s="10" t="s">
        <v>155</v>
      </c>
      <c r="D62" s="9" t="s">
        <v>60</v>
      </c>
      <c r="E62" s="11" t="n">
        <v>1275000</v>
      </c>
      <c r="F62" s="10" t="n">
        <v>5</v>
      </c>
      <c r="G62" s="10" t="n">
        <v>3</v>
      </c>
      <c r="H62" s="12" t="n">
        <v>2032</v>
      </c>
      <c r="I62" s="13" t="n">
        <f aca="false">E62/H62</f>
        <v>627.46062992126</v>
      </c>
      <c r="J62" s="10" t="str">
        <f aca="false">IF(H62&gt;='Read me'!$B$6,"Yes","No")</f>
        <v>Yes</v>
      </c>
      <c r="K62" s="10" t="str">
        <f aca="false">IF(AND(F62&gt;=3,G62&gt;=2),"Yes","No")</f>
        <v>Yes</v>
      </c>
      <c r="L62" s="10" t="str">
        <f aca="false">IF(E62&lt;='Read me'!$B$4,"Yes",IF(E62&lt;='Read me'!$B$5,"Stretch","No"))</f>
        <v>Yes</v>
      </c>
      <c r="M62" s="10" t="s">
        <v>156</v>
      </c>
    </row>
    <row r="63" customFormat="false" ht="15" hidden="false" customHeight="false" outlineLevel="0" collapsed="false">
      <c r="A63" s="10" t="n">
        <v>62</v>
      </c>
      <c r="B63" s="10" t="s">
        <v>140</v>
      </c>
      <c r="C63" s="10" t="s">
        <v>157</v>
      </c>
      <c r="D63" s="9" t="s">
        <v>60</v>
      </c>
      <c r="E63" s="11" t="n">
        <v>1295000</v>
      </c>
      <c r="F63" s="10" t="n">
        <v>4</v>
      </c>
      <c r="G63" s="10" t="n">
        <v>2</v>
      </c>
      <c r="H63" s="12" t="n">
        <v>1234</v>
      </c>
      <c r="I63" s="13" t="n">
        <f aca="false">E63/H63</f>
        <v>1049.43273905997</v>
      </c>
      <c r="J63" s="10" t="str">
        <f aca="false">IF(H63&gt;='Read me'!$B$6,"Yes","No")</f>
        <v>No</v>
      </c>
      <c r="K63" s="10" t="str">
        <f aca="false">IF(AND(F63&gt;=3,G63&gt;=2),"Yes","No")</f>
        <v>Yes</v>
      </c>
      <c r="L63" s="10" t="str">
        <f aca="false">IF(E63&lt;='Read me'!$B$4,"Yes",IF(E63&lt;='Read me'!$B$5,"Stretch","No"))</f>
        <v>Yes</v>
      </c>
      <c r="M63" s="10" t="s">
        <v>65</v>
      </c>
    </row>
    <row r="64" customFormat="false" ht="15" hidden="false" customHeight="false" outlineLevel="0" collapsed="false">
      <c r="A64" s="10" t="n">
        <v>63</v>
      </c>
      <c r="B64" s="10" t="s">
        <v>140</v>
      </c>
      <c r="C64" s="10" t="s">
        <v>158</v>
      </c>
      <c r="D64" s="9" t="s">
        <v>60</v>
      </c>
      <c r="E64" s="11" t="n">
        <v>1830000</v>
      </c>
      <c r="F64" s="10" t="n">
        <v>6</v>
      </c>
      <c r="G64" s="10" t="n">
        <v>4</v>
      </c>
      <c r="H64" s="12" t="n">
        <v>2591</v>
      </c>
      <c r="I64" s="13" t="n">
        <f aca="false">E64/H64</f>
        <v>706.291007333076</v>
      </c>
      <c r="J64" s="10" t="str">
        <f aca="false">IF(H64&gt;='Read me'!$B$6,"Yes","No")</f>
        <v>Yes</v>
      </c>
      <c r="K64" s="10" t="str">
        <f aca="false">IF(AND(F64&gt;=3,G64&gt;=2),"Yes","No")</f>
        <v>Yes</v>
      </c>
      <c r="L64" s="10" t="str">
        <f aca="false">IF(E64&lt;='Read me'!$B$4,"Yes",IF(E64&lt;='Read me'!$B$5,"Stretch","No"))</f>
        <v>Yes</v>
      </c>
      <c r="M64" s="10" t="s">
        <v>159</v>
      </c>
    </row>
    <row r="65" customFormat="false" ht="15" hidden="false" customHeight="false" outlineLevel="0" collapsed="false">
      <c r="A65" s="10" t="n">
        <v>64</v>
      </c>
      <c r="B65" s="10" t="s">
        <v>140</v>
      </c>
      <c r="C65" s="10" t="s">
        <v>160</v>
      </c>
      <c r="D65" s="9" t="s">
        <v>60</v>
      </c>
      <c r="E65" s="11" t="n">
        <v>2188000</v>
      </c>
      <c r="F65" s="10" t="n">
        <v>4</v>
      </c>
      <c r="G65" s="10" t="n">
        <v>3</v>
      </c>
      <c r="H65" s="12" t="n">
        <v>2530</v>
      </c>
      <c r="I65" s="13" t="n">
        <f aca="false">E65/H65</f>
        <v>864.822134387352</v>
      </c>
      <c r="J65" s="10" t="str">
        <f aca="false">IF(H65&gt;='Read me'!$B$6,"Yes","No")</f>
        <v>Yes</v>
      </c>
      <c r="K65" s="10" t="str">
        <f aca="false">IF(AND(F65&gt;=3,G65&gt;=2),"Yes","No")</f>
        <v>Yes</v>
      </c>
      <c r="L65" s="10" t="str">
        <f aca="false">IF(E65&lt;='Read me'!$B$4,"Yes",IF(E65&lt;='Read me'!$B$5,"Stretch","No"))</f>
        <v>No</v>
      </c>
      <c r="M65" s="10" t="s">
        <v>70</v>
      </c>
    </row>
    <row r="66" customFormat="false" ht="15" hidden="false" customHeight="false" outlineLevel="0" collapsed="false">
      <c r="A66" s="10" t="n">
        <v>65</v>
      </c>
      <c r="B66" s="10" t="s">
        <v>140</v>
      </c>
      <c r="C66" s="10" t="s">
        <v>161</v>
      </c>
      <c r="D66" s="9" t="s">
        <v>60</v>
      </c>
      <c r="E66" s="11" t="n">
        <v>1999888</v>
      </c>
      <c r="F66" s="10" t="n">
        <v>5</v>
      </c>
      <c r="G66" s="10" t="n">
        <v>5</v>
      </c>
      <c r="H66" s="12" t="n">
        <v>2250</v>
      </c>
      <c r="I66" s="13" t="n">
        <f aca="false">E66/H66</f>
        <v>888.839111111111</v>
      </c>
      <c r="J66" s="10" t="str">
        <f aca="false">IF(H66&gt;='Read me'!$B$6,"Yes","No")</f>
        <v>Yes</v>
      </c>
      <c r="K66" s="10" t="str">
        <f aca="false">IF(AND(F66&gt;=3,G66&gt;=2),"Yes","No")</f>
        <v>Yes</v>
      </c>
      <c r="L66" s="10" t="str">
        <f aca="false">IF(E66&lt;='Read me'!$B$4,"Yes",IF(E66&lt;='Read me'!$B$5,"Stretch","No"))</f>
        <v>Yes</v>
      </c>
      <c r="M66" s="10" t="s">
        <v>162</v>
      </c>
    </row>
    <row r="67" customFormat="false" ht="15" hidden="false" customHeight="false" outlineLevel="0" collapsed="false">
      <c r="A67" s="10" t="n">
        <v>66</v>
      </c>
      <c r="B67" s="10" t="s">
        <v>140</v>
      </c>
      <c r="C67" s="10" t="s">
        <v>163</v>
      </c>
      <c r="D67" s="9" t="s">
        <v>60</v>
      </c>
      <c r="E67" s="11" t="n">
        <v>1498000</v>
      </c>
      <c r="F67" s="10" t="n">
        <v>3</v>
      </c>
      <c r="G67" s="10" t="n">
        <v>2</v>
      </c>
      <c r="H67" s="12" t="n">
        <v>1361</v>
      </c>
      <c r="I67" s="13" t="n">
        <f aca="false">E67/H67</f>
        <v>1100.66127847171</v>
      </c>
      <c r="J67" s="10" t="str">
        <f aca="false">IF(H67&gt;='Read me'!$B$6,"Yes","No")</f>
        <v>No</v>
      </c>
      <c r="K67" s="10" t="str">
        <f aca="false">IF(AND(F67&gt;=3,G67&gt;=2),"Yes","No")</f>
        <v>Yes</v>
      </c>
      <c r="L67" s="10" t="str">
        <f aca="false">IF(E67&lt;='Read me'!$B$4,"Yes",IF(E67&lt;='Read me'!$B$5,"Stretch","No"))</f>
        <v>Yes</v>
      </c>
      <c r="M67" s="10" t="s">
        <v>65</v>
      </c>
    </row>
    <row r="68" customFormat="false" ht="15" hidden="false" customHeight="false" outlineLevel="0" collapsed="false">
      <c r="A68" s="10" t="n">
        <v>67</v>
      </c>
      <c r="B68" s="10" t="s">
        <v>140</v>
      </c>
      <c r="C68" s="10" t="s">
        <v>164</v>
      </c>
      <c r="D68" s="9" t="s">
        <v>60</v>
      </c>
      <c r="E68" s="11" t="n">
        <v>1299888</v>
      </c>
      <c r="F68" s="10" t="n">
        <v>3</v>
      </c>
      <c r="G68" s="10" t="n">
        <v>2</v>
      </c>
      <c r="H68" s="12" t="n">
        <v>1215</v>
      </c>
      <c r="I68" s="13" t="n">
        <f aca="false">E68/H68</f>
        <v>1069.86666666667</v>
      </c>
      <c r="J68" s="10" t="str">
        <f aca="false">IF(H68&gt;='Read me'!$B$6,"Yes","No")</f>
        <v>No</v>
      </c>
      <c r="K68" s="10" t="str">
        <f aca="false">IF(AND(F68&gt;=3,G68&gt;=2),"Yes","No")</f>
        <v>Yes</v>
      </c>
      <c r="L68" s="10" t="str">
        <f aca="false">IF(E68&lt;='Read me'!$B$4,"Yes",IF(E68&lt;='Read me'!$B$5,"Stretch","No"))</f>
        <v>Yes</v>
      </c>
      <c r="M68" s="10" t="s">
        <v>65</v>
      </c>
    </row>
    <row r="69" customFormat="false" ht="15" hidden="false" customHeight="false" outlineLevel="0" collapsed="false">
      <c r="A69" s="10" t="n">
        <v>68</v>
      </c>
      <c r="B69" s="10" t="s">
        <v>140</v>
      </c>
      <c r="C69" s="10" t="s">
        <v>165</v>
      </c>
      <c r="D69" s="9" t="s">
        <v>60</v>
      </c>
      <c r="E69" s="11" t="n">
        <v>1499000</v>
      </c>
      <c r="F69" s="10" t="n">
        <v>4</v>
      </c>
      <c r="G69" s="10" t="n">
        <v>2.5</v>
      </c>
      <c r="H69" s="12" t="n">
        <v>1960</v>
      </c>
      <c r="I69" s="13" t="n">
        <f aca="false">E69/H69</f>
        <v>764.795918367347</v>
      </c>
      <c r="J69" s="10" t="str">
        <f aca="false">IF(H69&gt;='Read me'!$B$6,"Yes","No")</f>
        <v>Yes</v>
      </c>
      <c r="K69" s="10" t="str">
        <f aca="false">IF(AND(F69&gt;=3,G69&gt;=2),"Yes","No")</f>
        <v>Yes</v>
      </c>
      <c r="L69" s="10" t="str">
        <f aca="false">IF(E69&lt;='Read me'!$B$4,"Yes",IF(E69&lt;='Read me'!$B$5,"Stretch","No"))</f>
        <v>Yes</v>
      </c>
      <c r="M69" s="10" t="s">
        <v>166</v>
      </c>
    </row>
    <row r="70" customFormat="false" ht="15" hidden="false" customHeight="false" outlineLevel="0" collapsed="false">
      <c r="A70" s="10" t="n">
        <v>69</v>
      </c>
      <c r="B70" s="10" t="s">
        <v>140</v>
      </c>
      <c r="C70" s="10" t="s">
        <v>167</v>
      </c>
      <c r="D70" s="9" t="s">
        <v>60</v>
      </c>
      <c r="E70" s="11" t="n">
        <v>1598000</v>
      </c>
      <c r="F70" s="10" t="n">
        <v>3</v>
      </c>
      <c r="G70" s="10" t="n">
        <v>2.5</v>
      </c>
      <c r="H70" s="12" t="n">
        <v>1828</v>
      </c>
      <c r="I70" s="13" t="n">
        <f aca="false">E70/H70</f>
        <v>874.17943107221</v>
      </c>
      <c r="J70" s="10" t="str">
        <f aca="false">IF(H70&gt;='Read me'!$B$6,"Yes","No")</f>
        <v>Yes</v>
      </c>
      <c r="K70" s="10" t="str">
        <f aca="false">IF(AND(F70&gt;=3,G70&gt;=2),"Yes","No")</f>
        <v>Yes</v>
      </c>
      <c r="L70" s="10" t="str">
        <f aca="false">IF(E70&lt;='Read me'!$B$4,"Yes",IF(E70&lt;='Read me'!$B$5,"Stretch","No"))</f>
        <v>Yes</v>
      </c>
      <c r="M70" s="10" t="s">
        <v>168</v>
      </c>
    </row>
    <row r="71" customFormat="false" ht="15" hidden="false" customHeight="false" outlineLevel="0" collapsed="false">
      <c r="A71" s="10" t="n">
        <v>70</v>
      </c>
      <c r="B71" s="10" t="s">
        <v>140</v>
      </c>
      <c r="C71" s="10" t="s">
        <v>169</v>
      </c>
      <c r="D71" s="9" t="s">
        <v>60</v>
      </c>
      <c r="E71" s="11" t="n">
        <v>2088888</v>
      </c>
      <c r="F71" s="10" t="n">
        <v>4</v>
      </c>
      <c r="G71" s="10" t="n">
        <v>3</v>
      </c>
      <c r="H71" s="12" t="n">
        <v>2400</v>
      </c>
      <c r="I71" s="13" t="n">
        <f aca="false">E71/H71</f>
        <v>870.37</v>
      </c>
      <c r="J71" s="10" t="str">
        <f aca="false">IF(H71&gt;='Read me'!$B$6,"Yes","No")</f>
        <v>Yes</v>
      </c>
      <c r="K71" s="10" t="str">
        <f aca="false">IF(AND(F71&gt;=3,G71&gt;=2),"Yes","No")</f>
        <v>Yes</v>
      </c>
      <c r="L71" s="10" t="str">
        <f aca="false">IF(E71&lt;='Read me'!$B$4,"Yes",IF(E71&lt;='Read me'!$B$5,"Stretch","No"))</f>
        <v>Stretch</v>
      </c>
      <c r="M71" s="10" t="s">
        <v>170</v>
      </c>
    </row>
  </sheetData>
  <autoFilter ref="A1:M71"/>
  <hyperlinks>
    <hyperlink ref="D2" r:id="rId1" display="Open listing"/>
    <hyperlink ref="D3" r:id="rId2" display="Open listing"/>
    <hyperlink ref="D4" r:id="rId3" display="Open listing"/>
    <hyperlink ref="D5" r:id="rId4" display="Open listing"/>
    <hyperlink ref="D6" r:id="rId5" display="Open listing"/>
    <hyperlink ref="D7" r:id="rId6" display="Open listing"/>
    <hyperlink ref="D8" r:id="rId7" display="Open listing"/>
    <hyperlink ref="D9" r:id="rId8" display="Open listing"/>
    <hyperlink ref="D10" r:id="rId9" display="Open listing"/>
    <hyperlink ref="D11" r:id="rId10" display="Open listing"/>
    <hyperlink ref="D12" r:id="rId11" display="Open listing"/>
    <hyperlink ref="D13" r:id="rId12" display="Open listing"/>
    <hyperlink ref="D14" r:id="rId13" display="Open listing"/>
    <hyperlink ref="D15" r:id="rId14" display="Open listing"/>
    <hyperlink ref="D16" r:id="rId15" display="Open listing"/>
    <hyperlink ref="D17" r:id="rId16" display="Open listing"/>
    <hyperlink ref="D18" r:id="rId17" display="Open listing"/>
    <hyperlink ref="D19" r:id="rId18" display="Open listing"/>
    <hyperlink ref="D20" r:id="rId19" display="Open listing"/>
    <hyperlink ref="D21" r:id="rId20" display="Open listing"/>
    <hyperlink ref="D22" r:id="rId21" display="Open listing"/>
    <hyperlink ref="D23" r:id="rId22" display="Open listing"/>
    <hyperlink ref="D24" r:id="rId23" display="Open listing"/>
    <hyperlink ref="D25" r:id="rId24" display="Open listing"/>
    <hyperlink ref="D26" r:id="rId25" display="Open listing"/>
    <hyperlink ref="D27" r:id="rId26" display="Open listing"/>
    <hyperlink ref="D28" r:id="rId27" display="Open listing"/>
    <hyperlink ref="D29" r:id="rId28" display="Open listing"/>
    <hyperlink ref="D30" r:id="rId29" display="Open listing"/>
    <hyperlink ref="D31" r:id="rId30" display="Open listing"/>
    <hyperlink ref="D32" r:id="rId31" display="Open listing"/>
    <hyperlink ref="D33" r:id="rId32" display="Open listing"/>
    <hyperlink ref="D34" r:id="rId33" display="Open listing"/>
    <hyperlink ref="D35" r:id="rId34" display="Open listing"/>
    <hyperlink ref="D36" r:id="rId35" display="Open listing"/>
    <hyperlink ref="D37" r:id="rId36" display="Open listing"/>
    <hyperlink ref="D38" r:id="rId37" display="Open listing"/>
    <hyperlink ref="D39" r:id="rId38" display="Open listing"/>
    <hyperlink ref="D40" r:id="rId39" display="Open listing"/>
    <hyperlink ref="D41" r:id="rId40" display="Open listing"/>
    <hyperlink ref="D42" r:id="rId41" display="Open listing"/>
    <hyperlink ref="D43" r:id="rId42" display="Open listing"/>
    <hyperlink ref="D44" r:id="rId43" display="Open listing"/>
    <hyperlink ref="D45" r:id="rId44" display="Open listing"/>
    <hyperlink ref="D46" r:id="rId45" display="Open listing"/>
    <hyperlink ref="D47" r:id="rId46" display="Open listing"/>
    <hyperlink ref="D48" r:id="rId47" display="Open listing"/>
    <hyperlink ref="D49" r:id="rId48" display="Open listing"/>
    <hyperlink ref="D50" r:id="rId49" display="Open listing"/>
    <hyperlink ref="D51" r:id="rId50" display="Open listing"/>
    <hyperlink ref="D52" r:id="rId51" display="Open listing"/>
    <hyperlink ref="D53" r:id="rId52" display="Open listing"/>
    <hyperlink ref="D54" r:id="rId53" display="Open listing"/>
    <hyperlink ref="D55" r:id="rId54" display="Open listing"/>
    <hyperlink ref="D56" r:id="rId55" display="Open listing"/>
    <hyperlink ref="D57" r:id="rId56" display="Open listing"/>
    <hyperlink ref="D58" r:id="rId57" display="Open listing"/>
    <hyperlink ref="D59" r:id="rId58" display="Open listing"/>
    <hyperlink ref="D60" r:id="rId59" display="Open listing"/>
    <hyperlink ref="D61" r:id="rId60" display="Open listing"/>
    <hyperlink ref="D62" r:id="rId61" display="Open listing"/>
    <hyperlink ref="D63" r:id="rId62" display="Open listing"/>
    <hyperlink ref="D64" r:id="rId63" display="Open listing"/>
    <hyperlink ref="D65" r:id="rId64" display="Open listing"/>
    <hyperlink ref="D66" r:id="rId65" display="Open listing"/>
    <hyperlink ref="D67" r:id="rId66" display="Open listing"/>
    <hyperlink ref="D68" r:id="rId67" display="Open listing"/>
    <hyperlink ref="D69" r:id="rId68" display="Open listing"/>
    <hyperlink ref="D70" r:id="rId69" display="Open listing"/>
    <hyperlink ref="D71" r:id="rId70" display="Open list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6"/>
    <col collapsed="false" customWidth="true" hidden="false" outlineLevel="0" max="10" min="10" style="0" width="9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24"/>
    <col collapsed="false" customWidth="true" hidden="false" outlineLevel="0" max="15" min="15" style="0" width="28"/>
    <col collapsed="false" customWidth="true" hidden="false" outlineLevel="0" max="16" min="16" style="0" width="24"/>
    <col collapsed="false" customWidth="true" hidden="false" outlineLevel="0" max="17" min="17" style="0" width="32"/>
    <col collapsed="false" customWidth="true" hidden="false" outlineLevel="0" max="18" min="18" style="0" width="12"/>
    <col collapsed="false" customWidth="true" hidden="false" outlineLevel="0" max="19" min="19" style="0" width="34"/>
    <col collapsed="false" customWidth="true" hidden="false" outlineLevel="0" max="20" min="20" style="0" width="7"/>
    <col collapsed="false" customWidth="true" hidden="false" outlineLevel="0" max="21" min="21" style="0" width="8"/>
    <col collapsed="false" customWidth="true" hidden="false" outlineLevel="0" max="22" min="22" style="0" width="7"/>
    <col collapsed="false" customWidth="true" hidden="false" outlineLevel="0" max="23" min="23" style="0" width="9"/>
    <col collapsed="false" customWidth="true" hidden="false" outlineLevel="0" max="25" min="24" style="0" width="7"/>
    <col collapsed="false" customWidth="true" hidden="false" outlineLevel="0" max="26" min="26" style="0" width="9"/>
    <col collapsed="false" customWidth="true" hidden="false" outlineLevel="0" max="27" min="27" style="0" width="18"/>
  </cols>
  <sheetData>
    <row r="1" customFormat="false" ht="52.2" hidden="false" customHeight="false" outlineLevel="0" collapsed="false">
      <c r="A1" s="7" t="s">
        <v>171</v>
      </c>
      <c r="B1" s="7" t="s">
        <v>46</v>
      </c>
      <c r="C1" s="7" t="s">
        <v>47</v>
      </c>
      <c r="D1" s="7" t="s">
        <v>48</v>
      </c>
      <c r="E1" s="7" t="s">
        <v>52</v>
      </c>
      <c r="F1" s="7" t="s">
        <v>172</v>
      </c>
      <c r="G1" s="7" t="s">
        <v>173</v>
      </c>
      <c r="H1" s="7" t="s">
        <v>174</v>
      </c>
      <c r="I1" s="7" t="s">
        <v>175</v>
      </c>
      <c r="J1" s="7" t="s">
        <v>176</v>
      </c>
      <c r="K1" s="7" t="s">
        <v>177</v>
      </c>
      <c r="L1" s="7" t="s">
        <v>49</v>
      </c>
      <c r="M1" s="7" t="s">
        <v>53</v>
      </c>
      <c r="N1" s="7" t="s">
        <v>178</v>
      </c>
      <c r="O1" s="7" t="s">
        <v>179</v>
      </c>
      <c r="P1" s="7" t="s">
        <v>180</v>
      </c>
      <c r="Q1" s="7" t="s">
        <v>181</v>
      </c>
      <c r="R1" s="7" t="s">
        <v>182</v>
      </c>
      <c r="S1" s="7" t="s">
        <v>183</v>
      </c>
      <c r="T1" s="7" t="s">
        <v>184</v>
      </c>
      <c r="U1" s="7" t="s">
        <v>185</v>
      </c>
      <c r="V1" s="7" t="s">
        <v>186</v>
      </c>
      <c r="W1" s="7" t="s">
        <v>187</v>
      </c>
      <c r="X1" s="7" t="s">
        <v>188</v>
      </c>
      <c r="Y1" s="7" t="s">
        <v>189</v>
      </c>
      <c r="Z1" s="7" t="s">
        <v>56</v>
      </c>
      <c r="AA1" s="7" t="s">
        <v>190</v>
      </c>
    </row>
    <row r="2" customFormat="false" ht="52.2" hidden="false" customHeight="false" outlineLevel="0" collapsed="false">
      <c r="A2" s="14" t="s">
        <v>191</v>
      </c>
      <c r="B2" s="14" t="s">
        <v>58</v>
      </c>
      <c r="C2" s="14" t="s">
        <v>192</v>
      </c>
      <c r="D2" s="15" t="s">
        <v>60</v>
      </c>
      <c r="E2" s="16" t="n">
        <v>1815</v>
      </c>
      <c r="F2" s="14" t="s">
        <v>193</v>
      </c>
      <c r="G2" s="14" t="s">
        <v>194</v>
      </c>
      <c r="H2" s="14" t="s">
        <v>195</v>
      </c>
      <c r="I2" s="14" t="n">
        <v>1958</v>
      </c>
      <c r="J2" s="14" t="s">
        <v>196</v>
      </c>
      <c r="K2" s="14" t="s">
        <v>197</v>
      </c>
      <c r="L2" s="17" t="n">
        <v>1988888</v>
      </c>
      <c r="M2" s="18" t="n">
        <f aca="false">L2/E2</f>
        <v>1095.80606060606</v>
      </c>
      <c r="N2" s="14" t="s">
        <v>198</v>
      </c>
      <c r="O2" s="14" t="s">
        <v>199</v>
      </c>
      <c r="P2" s="14" t="s">
        <v>200</v>
      </c>
      <c r="Q2" s="14" t="s">
        <v>201</v>
      </c>
      <c r="R2" s="14" t="s">
        <v>202</v>
      </c>
      <c r="S2" s="14" t="s">
        <v>203</v>
      </c>
      <c r="T2" s="19" t="n">
        <v>4</v>
      </c>
      <c r="U2" s="19" t="n">
        <v>4</v>
      </c>
      <c r="V2" s="19" t="n">
        <v>5</v>
      </c>
      <c r="W2" s="19" t="n">
        <v>4</v>
      </c>
      <c r="X2" s="20" t="n">
        <f aca="false">T2+U2+V2+2*W2</f>
        <v>21</v>
      </c>
      <c r="Y2" s="14" t="n">
        <f aca="false">RANK(X2,$X$2:$X$30)</f>
        <v>2</v>
      </c>
      <c r="Z2" s="14" t="str">
        <f aca="false">IF(L2&lt;='Read me'!$B$4,"Yes",IF(L2&lt;='Read me'!$B$5,"Stretch","No"))</f>
        <v>Yes</v>
      </c>
      <c r="AA2" s="14" t="s">
        <v>204</v>
      </c>
    </row>
    <row r="3" customFormat="false" ht="52.2" hidden="false" customHeight="false" outlineLevel="0" collapsed="false">
      <c r="A3" s="10" t="s">
        <v>205</v>
      </c>
      <c r="B3" s="10" t="s">
        <v>58</v>
      </c>
      <c r="C3" s="10" t="s">
        <v>206</v>
      </c>
      <c r="D3" s="9" t="s">
        <v>60</v>
      </c>
      <c r="E3" s="12" t="n">
        <v>1617</v>
      </c>
      <c r="F3" s="10" t="s">
        <v>207</v>
      </c>
      <c r="G3" s="10" t="s">
        <v>208</v>
      </c>
      <c r="H3" s="10" t="s">
        <v>195</v>
      </c>
      <c r="I3" s="10" t="n">
        <v>1957</v>
      </c>
      <c r="J3" s="10" t="s">
        <v>196</v>
      </c>
      <c r="K3" s="10" t="s">
        <v>209</v>
      </c>
      <c r="L3" s="11" t="n">
        <v>1995000</v>
      </c>
      <c r="M3" s="13" t="n">
        <f aca="false">L3/E3</f>
        <v>1233.76623376623</v>
      </c>
      <c r="N3" s="10" t="s">
        <v>210</v>
      </c>
      <c r="O3" s="10" t="s">
        <v>211</v>
      </c>
      <c r="P3" s="10" t="s">
        <v>212</v>
      </c>
      <c r="Q3" s="10" t="s">
        <v>213</v>
      </c>
      <c r="R3" s="10" t="s">
        <v>214</v>
      </c>
      <c r="S3" s="10" t="s">
        <v>215</v>
      </c>
      <c r="T3" s="21" t="n">
        <v>4</v>
      </c>
      <c r="U3" s="21" t="n">
        <v>5</v>
      </c>
      <c r="V3" s="21" t="n">
        <v>4</v>
      </c>
      <c r="W3" s="21" t="n">
        <v>4</v>
      </c>
      <c r="X3" s="8" t="n">
        <f aca="false">T3+U3+V3+2*W3</f>
        <v>21</v>
      </c>
      <c r="Y3" s="10" t="n">
        <f aca="false">RANK(X3,$X$2:$X$30)</f>
        <v>2</v>
      </c>
      <c r="Z3" s="10" t="str">
        <f aca="false">IF(L3&lt;='Read me'!$B$4,"Yes",IF(L3&lt;='Read me'!$B$5,"Stretch","No"))</f>
        <v>Yes</v>
      </c>
      <c r="AA3" s="10" t="s">
        <v>216</v>
      </c>
    </row>
    <row r="4" customFormat="false" ht="64.9" hidden="false" customHeight="false" outlineLevel="0" collapsed="false">
      <c r="A4" s="10" t="s">
        <v>217</v>
      </c>
      <c r="B4" s="10" t="s">
        <v>140</v>
      </c>
      <c r="C4" s="10" t="s">
        <v>218</v>
      </c>
      <c r="D4" s="9" t="s">
        <v>60</v>
      </c>
      <c r="E4" s="12" t="n">
        <v>1828</v>
      </c>
      <c r="F4" s="10" t="s">
        <v>219</v>
      </c>
      <c r="G4" s="10" t="s">
        <v>220</v>
      </c>
      <c r="H4" s="10" t="s">
        <v>221</v>
      </c>
      <c r="I4" s="10" t="n">
        <v>2005</v>
      </c>
      <c r="J4" s="10" t="s">
        <v>222</v>
      </c>
      <c r="K4" s="10" t="s">
        <v>223</v>
      </c>
      <c r="L4" s="11" t="n">
        <v>1598000</v>
      </c>
      <c r="M4" s="13" t="n">
        <f aca="false">L4/E4</f>
        <v>874.17943107221</v>
      </c>
      <c r="N4" s="10" t="s">
        <v>224</v>
      </c>
      <c r="O4" s="10" t="s">
        <v>225</v>
      </c>
      <c r="P4" s="10" t="s">
        <v>226</v>
      </c>
      <c r="Q4" s="10" t="s">
        <v>227</v>
      </c>
      <c r="R4" s="10" t="s">
        <v>202</v>
      </c>
      <c r="S4" s="10" t="s">
        <v>228</v>
      </c>
      <c r="T4" s="21" t="n">
        <v>3</v>
      </c>
      <c r="U4" s="21" t="n">
        <v>3</v>
      </c>
      <c r="V4" s="21" t="n">
        <v>4</v>
      </c>
      <c r="W4" s="21" t="n">
        <v>5</v>
      </c>
      <c r="X4" s="8" t="n">
        <f aca="false">T4+U4+V4+2*W4</f>
        <v>20</v>
      </c>
      <c r="Y4" s="10" t="n">
        <f aca="false">RANK(X4,$X$2:$X$30)</f>
        <v>4</v>
      </c>
      <c r="Z4" s="10" t="str">
        <f aca="false">IF(L4&lt;='Read me'!$B$4,"Yes",IF(L4&lt;='Read me'!$B$5,"Stretch","No"))</f>
        <v>Yes</v>
      </c>
      <c r="AA4" s="10" t="s">
        <v>229</v>
      </c>
    </row>
    <row r="5" customFormat="false" ht="52.2" hidden="false" customHeight="false" outlineLevel="0" collapsed="false">
      <c r="A5" s="10" t="s">
        <v>230</v>
      </c>
      <c r="B5" s="10" t="s">
        <v>108</v>
      </c>
      <c r="C5" s="10" t="s">
        <v>231</v>
      </c>
      <c r="D5" s="9" t="s">
        <v>60</v>
      </c>
      <c r="E5" s="12" t="n">
        <v>1528</v>
      </c>
      <c r="F5" s="10" t="s">
        <v>232</v>
      </c>
      <c r="G5" s="10" t="s">
        <v>233</v>
      </c>
      <c r="H5" s="10" t="s">
        <v>195</v>
      </c>
      <c r="I5" s="10" t="n">
        <v>1958</v>
      </c>
      <c r="J5" s="10" t="s">
        <v>196</v>
      </c>
      <c r="K5" s="10" t="s">
        <v>234</v>
      </c>
      <c r="L5" s="11" t="n">
        <v>1499888</v>
      </c>
      <c r="M5" s="13" t="n">
        <f aca="false">L5/E5</f>
        <v>981.602094240838</v>
      </c>
      <c r="N5" s="10" t="s">
        <v>235</v>
      </c>
      <c r="O5" s="10" t="s">
        <v>236</v>
      </c>
      <c r="P5" s="10" t="s">
        <v>237</v>
      </c>
      <c r="Q5" s="10" t="s">
        <v>238</v>
      </c>
      <c r="R5" s="10" t="s">
        <v>239</v>
      </c>
      <c r="S5" s="10" t="s">
        <v>240</v>
      </c>
      <c r="T5" s="21" t="n">
        <v>3</v>
      </c>
      <c r="U5" s="21" t="n">
        <v>4</v>
      </c>
      <c r="V5" s="21" t="n">
        <v>5</v>
      </c>
      <c r="W5" s="21" t="n">
        <v>4</v>
      </c>
      <c r="X5" s="8" t="n">
        <f aca="false">T5+U5+V5+2*W5</f>
        <v>20</v>
      </c>
      <c r="Y5" s="10" t="n">
        <f aca="false">RANK(X5,$X$2:$X$30)</f>
        <v>4</v>
      </c>
      <c r="Z5" s="10" t="str">
        <f aca="false">IF(L5&lt;='Read me'!$B$4,"Yes",IF(L5&lt;='Read me'!$B$5,"Stretch","No"))</f>
        <v>Yes</v>
      </c>
      <c r="AA5" s="10" t="s">
        <v>241</v>
      </c>
    </row>
    <row r="6" customFormat="false" ht="52.2" hidden="false" customHeight="false" outlineLevel="0" collapsed="false">
      <c r="A6" s="10" t="s">
        <v>242</v>
      </c>
      <c r="B6" s="10" t="s">
        <v>108</v>
      </c>
      <c r="C6" s="10" t="s">
        <v>243</v>
      </c>
      <c r="D6" s="9" t="s">
        <v>60</v>
      </c>
      <c r="E6" s="12" t="n">
        <v>2428</v>
      </c>
      <c r="F6" s="10" t="s">
        <v>244</v>
      </c>
      <c r="G6" s="10" t="s">
        <v>245</v>
      </c>
      <c r="H6" s="10" t="s">
        <v>246</v>
      </c>
      <c r="I6" s="10" t="n">
        <v>2026</v>
      </c>
      <c r="J6" s="10" t="s">
        <v>196</v>
      </c>
      <c r="K6" s="10" t="s">
        <v>247</v>
      </c>
      <c r="L6" s="11" t="n">
        <v>1988000</v>
      </c>
      <c r="M6" s="13" t="n">
        <f aca="false">L6/E6</f>
        <v>818.780889621087</v>
      </c>
      <c r="N6" s="10" t="s">
        <v>248</v>
      </c>
      <c r="O6" s="10" t="s">
        <v>249</v>
      </c>
      <c r="P6" s="10" t="s">
        <v>250</v>
      </c>
      <c r="Q6" s="10" t="s">
        <v>251</v>
      </c>
      <c r="R6" s="10" t="s">
        <v>252</v>
      </c>
      <c r="S6" s="10" t="s">
        <v>253</v>
      </c>
      <c r="T6" s="21" t="n">
        <v>3</v>
      </c>
      <c r="U6" s="21" t="n">
        <v>5</v>
      </c>
      <c r="V6" s="21" t="n">
        <v>3</v>
      </c>
      <c r="W6" s="21" t="n">
        <v>4</v>
      </c>
      <c r="X6" s="8" t="n">
        <f aca="false">T6+U6+V6+2*W6</f>
        <v>19</v>
      </c>
      <c r="Y6" s="10" t="n">
        <f aca="false">RANK(X6,$X$2:$X$30)</f>
        <v>7</v>
      </c>
      <c r="Z6" s="10" t="str">
        <f aca="false">IF(L6&lt;='Read me'!$B$4,"Yes",IF(L6&lt;='Read me'!$B$5,"Stretch","No"))</f>
        <v>Yes</v>
      </c>
      <c r="AA6" s="10" t="s">
        <v>254</v>
      </c>
    </row>
    <row r="7" customFormat="false" ht="52.2" hidden="false" customHeight="false" outlineLevel="0" collapsed="false">
      <c r="A7" s="10" t="s">
        <v>255</v>
      </c>
      <c r="B7" s="10" t="s">
        <v>58</v>
      </c>
      <c r="C7" s="10" t="s">
        <v>256</v>
      </c>
      <c r="D7" s="9" t="s">
        <v>60</v>
      </c>
      <c r="E7" s="12" t="n">
        <v>1586</v>
      </c>
      <c r="F7" s="10" t="s">
        <v>257</v>
      </c>
      <c r="G7" s="10" t="s">
        <v>258</v>
      </c>
      <c r="H7" s="10" t="s">
        <v>195</v>
      </c>
      <c r="I7" s="10" t="n">
        <v>1955</v>
      </c>
      <c r="J7" s="10" t="s">
        <v>196</v>
      </c>
      <c r="K7" s="10" t="s">
        <v>259</v>
      </c>
      <c r="L7" s="11" t="n">
        <v>1799000</v>
      </c>
      <c r="M7" s="13" t="n">
        <f aca="false">L7/E7</f>
        <v>1134.3001261034</v>
      </c>
      <c r="N7" s="10" t="s">
        <v>260</v>
      </c>
      <c r="O7" s="10" t="s">
        <v>261</v>
      </c>
      <c r="P7" s="10" t="s">
        <v>262</v>
      </c>
      <c r="Q7" s="10" t="s">
        <v>263</v>
      </c>
      <c r="R7" s="10" t="s">
        <v>264</v>
      </c>
      <c r="S7" s="10" t="s">
        <v>265</v>
      </c>
      <c r="T7" s="21" t="n">
        <v>4</v>
      </c>
      <c r="U7" s="21" t="n">
        <v>4</v>
      </c>
      <c r="V7" s="21" t="n">
        <v>5</v>
      </c>
      <c r="W7" s="21" t="n">
        <v>3</v>
      </c>
      <c r="X7" s="8" t="n">
        <f aca="false">T7+U7+V7+2*W7</f>
        <v>19</v>
      </c>
      <c r="Y7" s="10" t="n">
        <f aca="false">RANK(X7,$X$2:$X$30)</f>
        <v>7</v>
      </c>
      <c r="Z7" s="10" t="str">
        <f aca="false">IF(L7&lt;='Read me'!$B$4,"Yes",IF(L7&lt;='Read me'!$B$5,"Stretch","No"))</f>
        <v>Yes</v>
      </c>
      <c r="AA7" s="10" t="s">
        <v>266</v>
      </c>
    </row>
    <row r="8" customFormat="false" ht="39.55" hidden="false" customHeight="false" outlineLevel="0" collapsed="false">
      <c r="A8" s="10" t="s">
        <v>267</v>
      </c>
      <c r="B8" s="10" t="s">
        <v>58</v>
      </c>
      <c r="C8" s="10" t="s">
        <v>268</v>
      </c>
      <c r="D8" s="9" t="s">
        <v>60</v>
      </c>
      <c r="E8" s="12" t="n">
        <v>1518</v>
      </c>
      <c r="F8" s="10" t="s">
        <v>269</v>
      </c>
      <c r="G8" s="10" t="s">
        <v>233</v>
      </c>
      <c r="H8" s="10" t="s">
        <v>270</v>
      </c>
      <c r="I8" s="10" t="n">
        <v>1954</v>
      </c>
      <c r="J8" s="10" t="s">
        <v>196</v>
      </c>
      <c r="K8" s="10" t="s">
        <v>271</v>
      </c>
      <c r="L8" s="11" t="n">
        <v>1988000</v>
      </c>
      <c r="M8" s="13" t="n">
        <f aca="false">L8/E8</f>
        <v>1309.61791831357</v>
      </c>
      <c r="N8" s="10" t="s">
        <v>272</v>
      </c>
      <c r="O8" s="10" t="s">
        <v>273</v>
      </c>
      <c r="P8" s="10" t="s">
        <v>274</v>
      </c>
      <c r="Q8" s="10" t="s">
        <v>275</v>
      </c>
      <c r="R8" s="10" t="s">
        <v>202</v>
      </c>
      <c r="S8" s="10" t="s">
        <v>276</v>
      </c>
      <c r="T8" s="21" t="n">
        <v>4</v>
      </c>
      <c r="U8" s="21" t="n">
        <v>4</v>
      </c>
      <c r="V8" s="21" t="n">
        <v>3</v>
      </c>
      <c r="W8" s="21" t="n">
        <v>4</v>
      </c>
      <c r="X8" s="8" t="n">
        <f aca="false">T8+U8+V8+2*W8</f>
        <v>19</v>
      </c>
      <c r="Y8" s="10" t="n">
        <f aca="false">RANK(X8,$X$2:$X$30)</f>
        <v>7</v>
      </c>
      <c r="Z8" s="10" t="str">
        <f aca="false">IF(L8&lt;='Read me'!$B$4,"Yes",IF(L8&lt;='Read me'!$B$5,"Stretch","No"))</f>
        <v>Yes</v>
      </c>
      <c r="AA8" s="10" t="s">
        <v>277</v>
      </c>
    </row>
    <row r="9" customFormat="false" ht="39.55" hidden="false" customHeight="false" outlineLevel="0" collapsed="false">
      <c r="A9" s="10" t="s">
        <v>278</v>
      </c>
      <c r="B9" s="10" t="s">
        <v>140</v>
      </c>
      <c r="C9" s="10" t="s">
        <v>279</v>
      </c>
      <c r="D9" s="9" t="s">
        <v>60</v>
      </c>
      <c r="E9" s="12" t="n">
        <v>1828</v>
      </c>
      <c r="F9" s="10" t="s">
        <v>280</v>
      </c>
      <c r="G9" s="10" t="s">
        <v>220</v>
      </c>
      <c r="H9" s="10" t="s">
        <v>195</v>
      </c>
      <c r="I9" s="10" t="n">
        <v>2007</v>
      </c>
      <c r="J9" s="10" t="s">
        <v>281</v>
      </c>
      <c r="K9" s="10" t="s">
        <v>282</v>
      </c>
      <c r="L9" s="11" t="n">
        <v>1598000</v>
      </c>
      <c r="M9" s="13" t="n">
        <f aca="false">L9/E9</f>
        <v>874.17943107221</v>
      </c>
      <c r="N9" s="10" t="s">
        <v>224</v>
      </c>
      <c r="O9" s="10" t="s">
        <v>283</v>
      </c>
      <c r="P9" s="10" t="s">
        <v>226</v>
      </c>
      <c r="Q9" s="10" t="s">
        <v>284</v>
      </c>
      <c r="R9" s="10" t="s">
        <v>202</v>
      </c>
      <c r="S9" s="10" t="s">
        <v>285</v>
      </c>
      <c r="T9" s="21" t="n">
        <v>3</v>
      </c>
      <c r="U9" s="21" t="n">
        <v>3</v>
      </c>
      <c r="V9" s="21" t="n">
        <v>4</v>
      </c>
      <c r="W9" s="21" t="n">
        <v>4</v>
      </c>
      <c r="X9" s="8" t="n">
        <f aca="false">T9+U9+V9+2*W9</f>
        <v>18</v>
      </c>
      <c r="Y9" s="10" t="n">
        <f aca="false">RANK(X9,$X$2:$X$30)</f>
        <v>11</v>
      </c>
      <c r="Z9" s="10" t="str">
        <f aca="false">IF(L9&lt;='Read me'!$B$4,"Yes",IF(L9&lt;='Read me'!$B$5,"Stretch","No"))</f>
        <v>Yes</v>
      </c>
      <c r="AA9" s="10" t="s">
        <v>286</v>
      </c>
    </row>
    <row r="10" customFormat="false" ht="39.55" hidden="false" customHeight="false" outlineLevel="0" collapsed="false">
      <c r="A10" s="10" t="s">
        <v>287</v>
      </c>
      <c r="B10" s="10" t="s">
        <v>108</v>
      </c>
      <c r="C10" s="10" t="s">
        <v>288</v>
      </c>
      <c r="D10" s="9" t="s">
        <v>60</v>
      </c>
      <c r="E10" s="12" t="n">
        <v>1552</v>
      </c>
      <c r="F10" s="10" t="s">
        <v>289</v>
      </c>
      <c r="G10" s="10" t="s">
        <v>220</v>
      </c>
      <c r="H10" s="10" t="s">
        <v>195</v>
      </c>
      <c r="I10" s="10" t="n">
        <v>1976</v>
      </c>
      <c r="J10" s="10" t="s">
        <v>196</v>
      </c>
      <c r="K10" s="10" t="s">
        <v>290</v>
      </c>
      <c r="L10" s="11" t="n">
        <v>1998000</v>
      </c>
      <c r="M10" s="13" t="n">
        <f aca="false">L10/E10</f>
        <v>1287.37113402062</v>
      </c>
      <c r="N10" s="10" t="s">
        <v>291</v>
      </c>
      <c r="O10" s="10" t="s">
        <v>292</v>
      </c>
      <c r="P10" s="10" t="s">
        <v>293</v>
      </c>
      <c r="Q10" s="10" t="s">
        <v>294</v>
      </c>
      <c r="R10" s="10" t="s">
        <v>295</v>
      </c>
      <c r="S10" s="10" t="s">
        <v>296</v>
      </c>
      <c r="T10" s="21" t="n">
        <v>5</v>
      </c>
      <c r="U10" s="21" t="n">
        <v>3</v>
      </c>
      <c r="V10" s="21" t="n">
        <v>4</v>
      </c>
      <c r="W10" s="21" t="n">
        <v>3</v>
      </c>
      <c r="X10" s="8" t="n">
        <f aca="false">T10+U10+V10+2*W10</f>
        <v>18</v>
      </c>
      <c r="Y10" s="10" t="n">
        <f aca="false">RANK(X10,$X$2:$X$30)</f>
        <v>11</v>
      </c>
      <c r="Z10" s="10" t="str">
        <f aca="false">IF(L10&lt;='Read me'!$B$4,"Yes",IF(L10&lt;='Read me'!$B$5,"Stretch","No"))</f>
        <v>Yes</v>
      </c>
      <c r="AA10" s="10" t="s">
        <v>297</v>
      </c>
    </row>
    <row r="11" customFormat="false" ht="39.55" hidden="false" customHeight="false" outlineLevel="0" collapsed="false">
      <c r="A11" s="10" t="s">
        <v>298</v>
      </c>
      <c r="B11" s="10" t="s">
        <v>108</v>
      </c>
      <c r="C11" s="10" t="s">
        <v>299</v>
      </c>
      <c r="D11" s="9" t="s">
        <v>60</v>
      </c>
      <c r="E11" s="12" t="n">
        <v>1617</v>
      </c>
      <c r="F11" s="10" t="s">
        <v>300</v>
      </c>
      <c r="G11" s="10" t="s">
        <v>301</v>
      </c>
      <c r="H11" s="10" t="s">
        <v>221</v>
      </c>
      <c r="I11" s="10" t="n">
        <v>1965</v>
      </c>
      <c r="J11" s="10" t="s">
        <v>196</v>
      </c>
      <c r="K11" s="10" t="s">
        <v>302</v>
      </c>
      <c r="L11" s="11" t="n">
        <v>2098888</v>
      </c>
      <c r="M11" s="13" t="n">
        <f aca="false">L11/E11</f>
        <v>1298.01360544218</v>
      </c>
      <c r="N11" s="10" t="s">
        <v>303</v>
      </c>
      <c r="O11" s="10" t="s">
        <v>304</v>
      </c>
      <c r="P11" s="10" t="s">
        <v>237</v>
      </c>
      <c r="Q11" s="10" t="s">
        <v>305</v>
      </c>
      <c r="R11" s="10" t="s">
        <v>306</v>
      </c>
      <c r="S11" s="10" t="s">
        <v>307</v>
      </c>
      <c r="T11" s="21" t="n">
        <v>4</v>
      </c>
      <c r="U11" s="21" t="n">
        <v>3</v>
      </c>
      <c r="V11" s="21" t="n">
        <v>3</v>
      </c>
      <c r="W11" s="21" t="n">
        <v>4</v>
      </c>
      <c r="X11" s="8" t="n">
        <f aca="false">T11+U11+V11+2*W11</f>
        <v>18</v>
      </c>
      <c r="Y11" s="10" t="n">
        <f aca="false">RANK(X11,$X$2:$X$30)</f>
        <v>11</v>
      </c>
      <c r="Z11" s="10" t="str">
        <f aca="false">IF(L11&lt;='Read me'!$B$4,"Yes",IF(L11&lt;='Read me'!$B$5,"Stretch","No"))</f>
        <v>Stretch</v>
      </c>
      <c r="AA11" s="10" t="s">
        <v>308</v>
      </c>
    </row>
    <row r="12" customFormat="false" ht="39.55" hidden="false" customHeight="false" outlineLevel="0" collapsed="false">
      <c r="A12" s="10" t="s">
        <v>309</v>
      </c>
      <c r="B12" s="10" t="s">
        <v>140</v>
      </c>
      <c r="C12" s="10" t="s">
        <v>310</v>
      </c>
      <c r="D12" s="9" t="s">
        <v>60</v>
      </c>
      <c r="E12" s="12" t="n">
        <v>1538</v>
      </c>
      <c r="F12" s="10" t="s">
        <v>311</v>
      </c>
      <c r="G12" s="10" t="s">
        <v>220</v>
      </c>
      <c r="H12" s="10" t="s">
        <v>195</v>
      </c>
      <c r="I12" s="10" t="n">
        <v>1971</v>
      </c>
      <c r="J12" s="10" t="s">
        <v>196</v>
      </c>
      <c r="K12" s="10" t="s">
        <v>312</v>
      </c>
      <c r="L12" s="11" t="n">
        <v>1650000</v>
      </c>
      <c r="M12" s="13" t="n">
        <f aca="false">L12/E12</f>
        <v>1072.82184655397</v>
      </c>
      <c r="N12" s="10" t="s">
        <v>313</v>
      </c>
      <c r="O12" s="10" t="s">
        <v>314</v>
      </c>
      <c r="P12" s="10" t="s">
        <v>315</v>
      </c>
      <c r="Q12" s="10" t="s">
        <v>316</v>
      </c>
      <c r="R12" s="10" t="s">
        <v>317</v>
      </c>
      <c r="S12" s="10" t="s">
        <v>318</v>
      </c>
      <c r="T12" s="21" t="n">
        <v>4</v>
      </c>
      <c r="U12" s="21" t="n">
        <v>5</v>
      </c>
      <c r="V12" s="21" t="n">
        <v>3</v>
      </c>
      <c r="W12" s="21" t="n">
        <v>5</v>
      </c>
      <c r="X12" s="8" t="n">
        <f aca="false">T12+U12+V12+2*W12</f>
        <v>22</v>
      </c>
      <c r="Y12" s="10" t="n">
        <f aca="false">RANK(X12,$X$2:$X$30)</f>
        <v>1</v>
      </c>
      <c r="Z12" s="10" t="str">
        <f aca="false">IF(L12&lt;='Read me'!$B$4,"Yes",IF(L12&lt;='Read me'!$B$5,"Stretch","No"))</f>
        <v>Yes</v>
      </c>
      <c r="AA12" s="10" t="s">
        <v>319</v>
      </c>
    </row>
    <row r="13" customFormat="false" ht="39.55" hidden="false" customHeight="false" outlineLevel="0" collapsed="false">
      <c r="A13" s="10" t="s">
        <v>320</v>
      </c>
      <c r="B13" s="10" t="s">
        <v>140</v>
      </c>
      <c r="C13" s="10" t="s">
        <v>321</v>
      </c>
      <c r="D13" s="9" t="s">
        <v>60</v>
      </c>
      <c r="E13" s="12" t="n">
        <v>2591</v>
      </c>
      <c r="F13" s="10" t="s">
        <v>322</v>
      </c>
      <c r="G13" s="10" t="s">
        <v>323</v>
      </c>
      <c r="H13" s="10" t="s">
        <v>195</v>
      </c>
      <c r="I13" s="10" t="n">
        <v>1974</v>
      </c>
      <c r="J13" s="10" t="s">
        <v>196</v>
      </c>
      <c r="K13" s="10" t="s">
        <v>324</v>
      </c>
      <c r="L13" s="11" t="n">
        <v>1830000</v>
      </c>
      <c r="M13" s="13" t="n">
        <f aca="false">L13/E13</f>
        <v>706.291007333076</v>
      </c>
      <c r="N13" s="10" t="s">
        <v>325</v>
      </c>
      <c r="O13" s="10" t="s">
        <v>326</v>
      </c>
      <c r="P13" s="10" t="s">
        <v>315</v>
      </c>
      <c r="Q13" s="10" t="s">
        <v>327</v>
      </c>
      <c r="R13" s="10" t="s">
        <v>328</v>
      </c>
      <c r="S13" s="10" t="s">
        <v>329</v>
      </c>
      <c r="T13" s="21" t="n">
        <v>4</v>
      </c>
      <c r="U13" s="21" t="n">
        <v>4</v>
      </c>
      <c r="V13" s="21" t="n">
        <v>4</v>
      </c>
      <c r="W13" s="21" t="n">
        <v>4</v>
      </c>
      <c r="X13" s="8" t="n">
        <f aca="false">T13+U13+V13+2*W13</f>
        <v>20</v>
      </c>
      <c r="Y13" s="10" t="n">
        <f aca="false">RANK(X13,$X$2:$X$30)</f>
        <v>4</v>
      </c>
      <c r="Z13" s="10" t="str">
        <f aca="false">IF(L13&lt;='Read me'!$B$4,"Yes",IF(L13&lt;='Read me'!$B$5,"Stretch","No"))</f>
        <v>Yes</v>
      </c>
      <c r="AA13" s="10"/>
    </row>
    <row r="14" customFormat="false" ht="52.2" hidden="false" customHeight="false" outlineLevel="0" collapsed="false">
      <c r="A14" s="10" t="s">
        <v>330</v>
      </c>
      <c r="B14" s="10" t="s">
        <v>108</v>
      </c>
      <c r="C14" s="10" t="s">
        <v>331</v>
      </c>
      <c r="D14" s="9" t="s">
        <v>60</v>
      </c>
      <c r="E14" s="12" t="n">
        <v>1585</v>
      </c>
      <c r="F14" s="10" t="s">
        <v>332</v>
      </c>
      <c r="G14" s="10" t="s">
        <v>333</v>
      </c>
      <c r="H14" s="10" t="s">
        <v>195</v>
      </c>
      <c r="I14" s="10" t="n">
        <v>1971</v>
      </c>
      <c r="J14" s="10" t="s">
        <v>334</v>
      </c>
      <c r="K14" s="10" t="s">
        <v>335</v>
      </c>
      <c r="L14" s="11" t="n">
        <v>2098000</v>
      </c>
      <c r="M14" s="13" t="n">
        <f aca="false">L14/E14</f>
        <v>1323.65930599369</v>
      </c>
      <c r="N14" s="10" t="s">
        <v>336</v>
      </c>
      <c r="O14" s="10" t="s">
        <v>337</v>
      </c>
      <c r="P14" s="10" t="s">
        <v>293</v>
      </c>
      <c r="Q14" s="10" t="s">
        <v>338</v>
      </c>
      <c r="R14" s="10" t="s">
        <v>339</v>
      </c>
      <c r="S14" s="10" t="s">
        <v>340</v>
      </c>
      <c r="T14" s="21" t="n">
        <v>5</v>
      </c>
      <c r="U14" s="21" t="n">
        <v>4</v>
      </c>
      <c r="V14" s="21" t="n">
        <v>3</v>
      </c>
      <c r="W14" s="21" t="n">
        <v>3</v>
      </c>
      <c r="X14" s="8" t="n">
        <f aca="false">T14+U14+V14+2*W14</f>
        <v>18</v>
      </c>
      <c r="Y14" s="10" t="n">
        <f aca="false">RANK(X14,$X$2:$X$30)</f>
        <v>11</v>
      </c>
      <c r="Z14" s="10" t="str">
        <f aca="false">IF(L14&lt;='Read me'!$B$4,"Yes",IF(L14&lt;='Read me'!$B$5,"Stretch","No"))</f>
        <v>Stretch</v>
      </c>
      <c r="AA14" s="10"/>
    </row>
    <row r="15" customFormat="false" ht="39.55" hidden="false" customHeight="false" outlineLevel="0" collapsed="false">
      <c r="A15" s="10" t="s">
        <v>341</v>
      </c>
      <c r="B15" s="10" t="s">
        <v>140</v>
      </c>
      <c r="C15" s="10" t="s">
        <v>342</v>
      </c>
      <c r="D15" s="9" t="s">
        <v>60</v>
      </c>
      <c r="E15" s="12" t="n">
        <v>2400</v>
      </c>
      <c r="F15" s="10" t="s">
        <v>311</v>
      </c>
      <c r="G15" s="10" t="s">
        <v>343</v>
      </c>
      <c r="H15" s="10" t="s">
        <v>344</v>
      </c>
      <c r="I15" s="10" t="n">
        <v>1979</v>
      </c>
      <c r="J15" s="10" t="s">
        <v>196</v>
      </c>
      <c r="K15" s="10" t="s">
        <v>312</v>
      </c>
      <c r="L15" s="11" t="n">
        <v>2088888</v>
      </c>
      <c r="M15" s="13" t="n">
        <f aca="false">L15/E15</f>
        <v>870.37</v>
      </c>
      <c r="N15" s="10" t="s">
        <v>345</v>
      </c>
      <c r="O15" s="10" t="s">
        <v>346</v>
      </c>
      <c r="P15" s="10" t="s">
        <v>347</v>
      </c>
      <c r="Q15" s="10" t="s">
        <v>348</v>
      </c>
      <c r="R15" s="10" t="s">
        <v>317</v>
      </c>
      <c r="S15" s="10" t="s">
        <v>349</v>
      </c>
      <c r="T15" s="21" t="n">
        <v>4</v>
      </c>
      <c r="U15" s="21" t="n">
        <v>4</v>
      </c>
      <c r="V15" s="21" t="n">
        <v>3</v>
      </c>
      <c r="W15" s="21" t="n">
        <v>4</v>
      </c>
      <c r="X15" s="8" t="n">
        <f aca="false">T15+U15+V15+2*W15</f>
        <v>19</v>
      </c>
      <c r="Y15" s="10" t="n">
        <f aca="false">RANK(X15,$X$2:$X$30)</f>
        <v>7</v>
      </c>
      <c r="Z15" s="10" t="str">
        <f aca="false">IF(L15&lt;='Read me'!$B$4,"Yes",IF(L15&lt;='Read me'!$B$5,"Stretch","No"))</f>
        <v>Stretch</v>
      </c>
      <c r="AA15" s="10"/>
    </row>
    <row r="16" customFormat="false" ht="39.55" hidden="false" customHeight="false" outlineLevel="0" collapsed="false">
      <c r="A16" s="10" t="s">
        <v>350</v>
      </c>
      <c r="B16" s="10" t="s">
        <v>58</v>
      </c>
      <c r="C16" s="10" t="s">
        <v>351</v>
      </c>
      <c r="D16" s="9" t="s">
        <v>60</v>
      </c>
      <c r="E16" s="12" t="n">
        <v>1584</v>
      </c>
      <c r="F16" s="10" t="s">
        <v>352</v>
      </c>
      <c r="G16" s="10" t="s">
        <v>194</v>
      </c>
      <c r="H16" s="10" t="s">
        <v>353</v>
      </c>
      <c r="I16" s="10" t="n">
        <v>1976</v>
      </c>
      <c r="J16" s="10" t="s">
        <v>196</v>
      </c>
      <c r="K16" s="10" t="s">
        <v>354</v>
      </c>
      <c r="L16" s="11" t="n">
        <v>1968888</v>
      </c>
      <c r="M16" s="13" t="n">
        <f aca="false">L16/E16</f>
        <v>1242.98484848485</v>
      </c>
      <c r="N16" s="10" t="s">
        <v>355</v>
      </c>
      <c r="O16" s="10" t="s">
        <v>356</v>
      </c>
      <c r="P16" s="10" t="s">
        <v>357</v>
      </c>
      <c r="Q16" s="10" t="s">
        <v>358</v>
      </c>
      <c r="R16" s="10" t="s">
        <v>239</v>
      </c>
      <c r="S16" s="10" t="s">
        <v>359</v>
      </c>
      <c r="T16" s="21" t="n">
        <v>4</v>
      </c>
      <c r="U16" s="21" t="n">
        <v>4</v>
      </c>
      <c r="V16" s="21" t="n">
        <v>3</v>
      </c>
      <c r="W16" s="21" t="n">
        <v>3</v>
      </c>
      <c r="X16" s="8" t="n">
        <f aca="false">T16+U16+V16+2*W16</f>
        <v>17</v>
      </c>
      <c r="Y16" s="10" t="n">
        <f aca="false">RANK(X16,$X$2:$X$30)</f>
        <v>16</v>
      </c>
      <c r="Z16" s="10" t="str">
        <f aca="false">IF(L16&lt;='Read me'!$B$4,"Yes",IF(L16&lt;='Read me'!$B$5,"Stretch","No"))</f>
        <v>Yes</v>
      </c>
      <c r="AA16" s="10"/>
    </row>
    <row r="17" customFormat="false" ht="39.55" hidden="false" customHeight="false" outlineLevel="0" collapsed="false">
      <c r="A17" s="10" t="s">
        <v>360</v>
      </c>
      <c r="B17" s="10" t="s">
        <v>58</v>
      </c>
      <c r="C17" s="10" t="s">
        <v>361</v>
      </c>
      <c r="D17" s="9" t="s">
        <v>60</v>
      </c>
      <c r="E17" s="12" t="n">
        <v>1420</v>
      </c>
      <c r="F17" s="10" t="s">
        <v>300</v>
      </c>
      <c r="G17" s="10" t="s">
        <v>362</v>
      </c>
      <c r="H17" s="10" t="s">
        <v>221</v>
      </c>
      <c r="I17" s="10" t="n">
        <v>1955</v>
      </c>
      <c r="J17" s="10" t="s">
        <v>196</v>
      </c>
      <c r="K17" s="10" t="s">
        <v>363</v>
      </c>
      <c r="L17" s="11" t="n">
        <v>1899950</v>
      </c>
      <c r="M17" s="13" t="n">
        <f aca="false">L17/E17</f>
        <v>1337.99295774648</v>
      </c>
      <c r="N17" s="10" t="s">
        <v>364</v>
      </c>
      <c r="O17" s="10" t="s">
        <v>365</v>
      </c>
      <c r="P17" s="10" t="s">
        <v>262</v>
      </c>
      <c r="Q17" s="10" t="s">
        <v>366</v>
      </c>
      <c r="R17" s="10" t="s">
        <v>202</v>
      </c>
      <c r="S17" s="10" t="s">
        <v>367</v>
      </c>
      <c r="T17" s="21" t="n">
        <v>3</v>
      </c>
      <c r="U17" s="21" t="n">
        <v>4</v>
      </c>
      <c r="V17" s="21" t="n">
        <v>2</v>
      </c>
      <c r="W17" s="21" t="n">
        <v>4</v>
      </c>
      <c r="X17" s="8" t="n">
        <f aca="false">T17+U17+V17+2*W17</f>
        <v>17</v>
      </c>
      <c r="Y17" s="10" t="n">
        <f aca="false">RANK(X17,$X$2:$X$30)</f>
        <v>16</v>
      </c>
      <c r="Z17" s="10" t="str">
        <f aca="false">IF(L17&lt;='Read me'!$B$4,"Yes",IF(L17&lt;='Read me'!$B$5,"Stretch","No"))</f>
        <v>Yes</v>
      </c>
      <c r="AA17" s="10"/>
    </row>
    <row r="18" customFormat="false" ht="52.2" hidden="false" customHeight="false" outlineLevel="0" collapsed="false">
      <c r="A18" s="10" t="s">
        <v>368</v>
      </c>
      <c r="B18" s="10" t="s">
        <v>131</v>
      </c>
      <c r="C18" s="10" t="s">
        <v>369</v>
      </c>
      <c r="D18" s="9" t="s">
        <v>60</v>
      </c>
      <c r="E18" s="12" t="n">
        <v>1751</v>
      </c>
      <c r="F18" s="10" t="s">
        <v>370</v>
      </c>
      <c r="G18" s="10" t="s">
        <v>371</v>
      </c>
      <c r="H18" s="10" t="s">
        <v>195</v>
      </c>
      <c r="I18" s="10" t="n">
        <v>2019</v>
      </c>
      <c r="J18" s="10" t="s">
        <v>372</v>
      </c>
      <c r="K18" s="10" t="s">
        <v>373</v>
      </c>
      <c r="L18" s="11" t="n">
        <v>1750000</v>
      </c>
      <c r="M18" s="13" t="n">
        <f aca="false">L18/E18</f>
        <v>999.428897772701</v>
      </c>
      <c r="N18" s="10" t="s">
        <v>374</v>
      </c>
      <c r="O18" s="10" t="s">
        <v>375</v>
      </c>
      <c r="P18" s="10" t="s">
        <v>376</v>
      </c>
      <c r="Q18" s="10" t="s">
        <v>377</v>
      </c>
      <c r="R18" s="10" t="s">
        <v>264</v>
      </c>
      <c r="S18" s="10" t="s">
        <v>378</v>
      </c>
      <c r="T18" s="21" t="n">
        <v>4</v>
      </c>
      <c r="U18" s="21" t="n">
        <v>4</v>
      </c>
      <c r="V18" s="21" t="n">
        <v>5</v>
      </c>
      <c r="W18" s="21" t="n">
        <v>2</v>
      </c>
      <c r="X18" s="8" t="n">
        <f aca="false">T18+U18+V18+2*W18</f>
        <v>17</v>
      </c>
      <c r="Y18" s="10" t="n">
        <f aca="false">RANK(X18,$X$2:$X$30)</f>
        <v>16</v>
      </c>
      <c r="Z18" s="10" t="str">
        <f aca="false">IF(L18&lt;='Read me'!$B$4,"Yes",IF(L18&lt;='Read me'!$B$5,"Stretch","No"))</f>
        <v>Yes</v>
      </c>
      <c r="AA18" s="10"/>
    </row>
    <row r="19" customFormat="false" ht="39.55" hidden="false" customHeight="false" outlineLevel="0" collapsed="false">
      <c r="A19" s="10" t="s">
        <v>379</v>
      </c>
      <c r="B19" s="10" t="s">
        <v>131</v>
      </c>
      <c r="C19" s="10" t="s">
        <v>380</v>
      </c>
      <c r="D19" s="9" t="s">
        <v>60</v>
      </c>
      <c r="E19" s="12" t="n">
        <v>1781</v>
      </c>
      <c r="F19" s="10" t="s">
        <v>370</v>
      </c>
      <c r="G19" s="10" t="s">
        <v>381</v>
      </c>
      <c r="H19" s="10" t="s">
        <v>195</v>
      </c>
      <c r="I19" s="10" t="n">
        <v>2018</v>
      </c>
      <c r="J19" s="10" t="s">
        <v>372</v>
      </c>
      <c r="K19" s="10" t="s">
        <v>354</v>
      </c>
      <c r="L19" s="11" t="n">
        <v>1988000</v>
      </c>
      <c r="M19" s="13" t="n">
        <f aca="false">L19/E19</f>
        <v>1116.22683885458</v>
      </c>
      <c r="N19" s="10" t="s">
        <v>374</v>
      </c>
      <c r="O19" s="10" t="s">
        <v>375</v>
      </c>
      <c r="P19" s="10" t="s">
        <v>376</v>
      </c>
      <c r="Q19" s="10" t="s">
        <v>382</v>
      </c>
      <c r="R19" s="10" t="s">
        <v>264</v>
      </c>
      <c r="S19" s="10" t="s">
        <v>383</v>
      </c>
      <c r="T19" s="21" t="n">
        <v>4</v>
      </c>
      <c r="U19" s="21" t="n">
        <v>4</v>
      </c>
      <c r="V19" s="21" t="n">
        <v>4</v>
      </c>
      <c r="W19" s="21" t="n">
        <v>2</v>
      </c>
      <c r="X19" s="8" t="n">
        <f aca="false">T19+U19+V19+2*W19</f>
        <v>16</v>
      </c>
      <c r="Y19" s="10" t="n">
        <f aca="false">RANK(X19,$X$2:$X$30)</f>
        <v>21</v>
      </c>
      <c r="Z19" s="10" t="str">
        <f aca="false">IF(L19&lt;='Read me'!$B$4,"Yes",IF(L19&lt;='Read me'!$B$5,"Stretch","No"))</f>
        <v>Yes</v>
      </c>
      <c r="AA19" s="10"/>
    </row>
    <row r="20" customFormat="false" ht="52.2" hidden="false" customHeight="false" outlineLevel="0" collapsed="false">
      <c r="A20" s="10" t="s">
        <v>384</v>
      </c>
      <c r="B20" s="10" t="s">
        <v>140</v>
      </c>
      <c r="C20" s="10" t="s">
        <v>385</v>
      </c>
      <c r="D20" s="9" t="s">
        <v>60</v>
      </c>
      <c r="E20" s="12" t="n">
        <v>1828</v>
      </c>
      <c r="F20" s="10" t="s">
        <v>386</v>
      </c>
      <c r="G20" s="10" t="s">
        <v>220</v>
      </c>
      <c r="H20" s="10" t="s">
        <v>387</v>
      </c>
      <c r="I20" s="10" t="n">
        <v>1996</v>
      </c>
      <c r="J20" s="10" t="s">
        <v>388</v>
      </c>
      <c r="K20" s="10" t="s">
        <v>389</v>
      </c>
      <c r="L20" s="11" t="n">
        <v>1775000</v>
      </c>
      <c r="M20" s="13" t="n">
        <f aca="false">L20/E20</f>
        <v>971.006564551422</v>
      </c>
      <c r="N20" s="10" t="s">
        <v>390</v>
      </c>
      <c r="O20" s="10" t="s">
        <v>391</v>
      </c>
      <c r="P20" s="10" t="s">
        <v>392</v>
      </c>
      <c r="Q20" s="10" t="s">
        <v>393</v>
      </c>
      <c r="R20" s="10" t="s">
        <v>394</v>
      </c>
      <c r="S20" s="10" t="s">
        <v>395</v>
      </c>
      <c r="T20" s="21" t="n">
        <v>4</v>
      </c>
      <c r="U20" s="21" t="n">
        <v>4</v>
      </c>
      <c r="V20" s="21" t="n">
        <v>4</v>
      </c>
      <c r="W20" s="21" t="n">
        <v>2</v>
      </c>
      <c r="X20" s="8" t="n">
        <f aca="false">T20+U20+V20+2*W20</f>
        <v>16</v>
      </c>
      <c r="Y20" s="10" t="n">
        <f aca="false">RANK(X20,$X$2:$X$30)</f>
        <v>21</v>
      </c>
      <c r="Z20" s="10" t="str">
        <f aca="false">IF(L20&lt;='Read me'!$B$4,"Yes",IF(L20&lt;='Read me'!$B$5,"Stretch","No"))</f>
        <v>Yes</v>
      </c>
      <c r="AA20" s="10"/>
    </row>
    <row r="21" customFormat="false" ht="39.55" hidden="false" customHeight="false" outlineLevel="0" collapsed="false">
      <c r="A21" s="10" t="s">
        <v>396</v>
      </c>
      <c r="B21" s="10" t="s">
        <v>58</v>
      </c>
      <c r="C21" s="10" t="s">
        <v>397</v>
      </c>
      <c r="D21" s="9" t="s">
        <v>60</v>
      </c>
      <c r="E21" s="12" t="n">
        <v>1563</v>
      </c>
      <c r="F21" s="10" t="s">
        <v>398</v>
      </c>
      <c r="G21" s="10" t="s">
        <v>233</v>
      </c>
      <c r="H21" s="10" t="s">
        <v>399</v>
      </c>
      <c r="I21" s="10" t="n">
        <v>1976</v>
      </c>
      <c r="J21" s="10" t="s">
        <v>196</v>
      </c>
      <c r="K21" s="10" t="s">
        <v>400</v>
      </c>
      <c r="L21" s="11" t="n">
        <v>1399000</v>
      </c>
      <c r="M21" s="13" t="n">
        <f aca="false">L21/E21</f>
        <v>895.073576455534</v>
      </c>
      <c r="N21" s="10" t="s">
        <v>401</v>
      </c>
      <c r="O21" s="10" t="s">
        <v>402</v>
      </c>
      <c r="P21" s="10" t="s">
        <v>357</v>
      </c>
      <c r="Q21" s="10" t="s">
        <v>403</v>
      </c>
      <c r="R21" s="10" t="s">
        <v>239</v>
      </c>
      <c r="S21" s="10" t="s">
        <v>404</v>
      </c>
      <c r="T21" s="21" t="n">
        <v>4</v>
      </c>
      <c r="U21" s="21" t="n">
        <v>4</v>
      </c>
      <c r="V21" s="21" t="n">
        <v>4</v>
      </c>
      <c r="W21" s="21" t="n">
        <v>2</v>
      </c>
      <c r="X21" s="8" t="n">
        <f aca="false">T21+U21+V21+2*W21</f>
        <v>16</v>
      </c>
      <c r="Y21" s="10" t="n">
        <f aca="false">RANK(X21,$X$2:$X$30)</f>
        <v>21</v>
      </c>
      <c r="Z21" s="10" t="str">
        <f aca="false">IF(L21&lt;='Read me'!$B$4,"Yes",IF(L21&lt;='Read me'!$B$5,"Stretch","No"))</f>
        <v>Yes</v>
      </c>
      <c r="AA21" s="10"/>
    </row>
    <row r="22" customFormat="false" ht="26.85" hidden="false" customHeight="false" outlineLevel="0" collapsed="false">
      <c r="A22" s="10" t="s">
        <v>405</v>
      </c>
      <c r="B22" s="10" t="s">
        <v>140</v>
      </c>
      <c r="C22" s="10" t="s">
        <v>406</v>
      </c>
      <c r="D22" s="9" t="s">
        <v>60</v>
      </c>
      <c r="E22" s="12" t="n">
        <v>1960</v>
      </c>
      <c r="F22" s="10" t="s">
        <v>407</v>
      </c>
      <c r="G22" s="10" t="s">
        <v>408</v>
      </c>
      <c r="H22" s="10" t="s">
        <v>409</v>
      </c>
      <c r="I22" s="10" t="n">
        <v>1973</v>
      </c>
      <c r="J22" s="10" t="s">
        <v>410</v>
      </c>
      <c r="K22" s="10" t="s">
        <v>354</v>
      </c>
      <c r="L22" s="11" t="n">
        <v>1499000</v>
      </c>
      <c r="M22" s="13" t="n">
        <f aca="false">L22/E22</f>
        <v>764.795918367347</v>
      </c>
      <c r="N22" s="10" t="s">
        <v>411</v>
      </c>
      <c r="O22" s="10" t="s">
        <v>412</v>
      </c>
      <c r="P22" s="10" t="s">
        <v>315</v>
      </c>
      <c r="Q22" s="10" t="s">
        <v>413</v>
      </c>
      <c r="R22" s="10" t="s">
        <v>317</v>
      </c>
      <c r="S22" s="10" t="s">
        <v>414</v>
      </c>
      <c r="T22" s="21" t="n">
        <v>4</v>
      </c>
      <c r="U22" s="21" t="n">
        <v>4</v>
      </c>
      <c r="V22" s="21" t="n">
        <v>4</v>
      </c>
      <c r="W22" s="21" t="n">
        <v>2</v>
      </c>
      <c r="X22" s="8" t="n">
        <f aca="false">T22+U22+V22+2*W22</f>
        <v>16</v>
      </c>
      <c r="Y22" s="10" t="n">
        <f aca="false">RANK(X22,$X$2:$X$30)</f>
        <v>21</v>
      </c>
      <c r="Z22" s="10" t="str">
        <f aca="false">IF(L22&lt;='Read me'!$B$4,"Yes",IF(L22&lt;='Read me'!$B$5,"Stretch","No"))</f>
        <v>Yes</v>
      </c>
      <c r="AA22" s="10"/>
    </row>
    <row r="23" customFormat="false" ht="39.55" hidden="false" customHeight="false" outlineLevel="0" collapsed="false">
      <c r="A23" s="10" t="s">
        <v>415</v>
      </c>
      <c r="B23" s="10" t="s">
        <v>108</v>
      </c>
      <c r="C23" s="10" t="s">
        <v>416</v>
      </c>
      <c r="D23" s="9" t="s">
        <v>60</v>
      </c>
      <c r="E23" s="12" t="n">
        <v>1640</v>
      </c>
      <c r="F23" s="10" t="s">
        <v>417</v>
      </c>
      <c r="G23" s="10" t="s">
        <v>418</v>
      </c>
      <c r="H23" s="10" t="s">
        <v>419</v>
      </c>
      <c r="I23" s="10" t="n">
        <v>1955</v>
      </c>
      <c r="J23" s="10" t="s">
        <v>410</v>
      </c>
      <c r="K23" s="10" t="s">
        <v>354</v>
      </c>
      <c r="L23" s="11" t="n">
        <v>1898500</v>
      </c>
      <c r="M23" s="13" t="n">
        <f aca="false">L23/E23</f>
        <v>1157.62195121951</v>
      </c>
      <c r="N23" s="10" t="s">
        <v>420</v>
      </c>
      <c r="O23" s="10" t="s">
        <v>421</v>
      </c>
      <c r="P23" s="10" t="s">
        <v>250</v>
      </c>
      <c r="Q23" s="10" t="s">
        <v>422</v>
      </c>
      <c r="R23" s="10" t="s">
        <v>423</v>
      </c>
      <c r="S23" s="10" t="s">
        <v>424</v>
      </c>
      <c r="T23" s="21" t="n">
        <v>3</v>
      </c>
      <c r="U23" s="21" t="n">
        <v>3</v>
      </c>
      <c r="V23" s="21" t="n">
        <v>3</v>
      </c>
      <c r="W23" s="21" t="n">
        <v>2</v>
      </c>
      <c r="X23" s="8" t="n">
        <f aca="false">T23+U23+V23+2*W23</f>
        <v>13</v>
      </c>
      <c r="Y23" s="10" t="n">
        <f aca="false">RANK(X23,$X$2:$X$30)</f>
        <v>28</v>
      </c>
      <c r="Z23" s="10" t="str">
        <f aca="false">IF(L23&lt;='Read me'!$B$4,"Yes",IF(L23&lt;='Read me'!$B$5,"Stretch","No"))</f>
        <v>Yes</v>
      </c>
      <c r="AA23" s="10"/>
    </row>
    <row r="24" customFormat="false" ht="39.55" hidden="false" customHeight="false" outlineLevel="0" collapsed="false">
      <c r="A24" s="10" t="s">
        <v>425</v>
      </c>
      <c r="B24" s="10" t="s">
        <v>140</v>
      </c>
      <c r="C24" s="10" t="s">
        <v>426</v>
      </c>
      <c r="D24" s="9" t="s">
        <v>60</v>
      </c>
      <c r="E24" s="12" t="n">
        <v>2250</v>
      </c>
      <c r="F24" s="10" t="s">
        <v>427</v>
      </c>
      <c r="G24" s="10" t="s">
        <v>428</v>
      </c>
      <c r="H24" s="10" t="s">
        <v>221</v>
      </c>
      <c r="I24" s="10" t="n">
        <v>2014</v>
      </c>
      <c r="J24" s="10" t="s">
        <v>429</v>
      </c>
      <c r="K24" s="10" t="s">
        <v>430</v>
      </c>
      <c r="L24" s="11" t="n">
        <v>1999888</v>
      </c>
      <c r="M24" s="13" t="n">
        <f aca="false">L24/E24</f>
        <v>888.839111111111</v>
      </c>
      <c r="N24" s="10" t="s">
        <v>431</v>
      </c>
      <c r="O24" s="10" t="s">
        <v>432</v>
      </c>
      <c r="P24" s="10" t="s">
        <v>315</v>
      </c>
      <c r="Q24" s="10" t="s">
        <v>433</v>
      </c>
      <c r="R24" s="10" t="s">
        <v>434</v>
      </c>
      <c r="S24" s="10" t="s">
        <v>435</v>
      </c>
      <c r="T24" s="21" t="n">
        <v>3</v>
      </c>
      <c r="U24" s="21" t="n">
        <v>4</v>
      </c>
      <c r="V24" s="21" t="n">
        <v>2</v>
      </c>
      <c r="W24" s="21" t="n">
        <v>3</v>
      </c>
      <c r="X24" s="8" t="n">
        <f aca="false">T24+U24+V24+2*W24</f>
        <v>15</v>
      </c>
      <c r="Y24" s="10" t="n">
        <f aca="false">RANK(X24,$X$2:$X$30)</f>
        <v>26</v>
      </c>
      <c r="Z24" s="10" t="str">
        <f aca="false">IF(L24&lt;='Read me'!$B$4,"Yes",IF(L24&lt;='Read me'!$B$5,"Stretch","No"))</f>
        <v>Yes</v>
      </c>
      <c r="AA24" s="10"/>
    </row>
    <row r="25" customFormat="false" ht="39.55" hidden="false" customHeight="false" outlineLevel="0" collapsed="false">
      <c r="A25" s="22" t="s">
        <v>436</v>
      </c>
      <c r="B25" s="22" t="s">
        <v>140</v>
      </c>
      <c r="C25" s="22" t="s">
        <v>437</v>
      </c>
      <c r="D25" s="23" t="s">
        <v>60</v>
      </c>
      <c r="E25" s="24" t="n">
        <v>1827</v>
      </c>
      <c r="F25" s="22" t="s">
        <v>438</v>
      </c>
      <c r="G25" s="22" t="s">
        <v>381</v>
      </c>
      <c r="H25" s="22" t="s">
        <v>439</v>
      </c>
      <c r="I25" s="22" t="n">
        <v>2026</v>
      </c>
      <c r="J25" s="22" t="s">
        <v>440</v>
      </c>
      <c r="K25" s="22" t="s">
        <v>441</v>
      </c>
      <c r="L25" s="25" t="n">
        <v>1488000</v>
      </c>
      <c r="M25" s="26" t="n">
        <f aca="false">L25/E25</f>
        <v>814.449917898194</v>
      </c>
      <c r="N25" s="22" t="s">
        <v>442</v>
      </c>
      <c r="O25" s="22" t="s">
        <v>443</v>
      </c>
      <c r="P25" s="22" t="s">
        <v>444</v>
      </c>
      <c r="Q25" s="22" t="s">
        <v>445</v>
      </c>
      <c r="R25" s="22" t="s">
        <v>423</v>
      </c>
      <c r="S25" s="22" t="s">
        <v>446</v>
      </c>
      <c r="T25" s="27" t="n">
        <v>3</v>
      </c>
      <c r="U25" s="27" t="n">
        <v>3</v>
      </c>
      <c r="V25" s="27" t="n">
        <v>3</v>
      </c>
      <c r="W25" s="27" t="n">
        <v>4</v>
      </c>
      <c r="X25" s="28" t="n">
        <f aca="false">T25+U25+V25+2*W25</f>
        <v>17</v>
      </c>
      <c r="Y25" s="22" t="n">
        <f aca="false">RANK(X25,$X$2:$X$30)</f>
        <v>16</v>
      </c>
      <c r="Z25" s="22" t="str">
        <f aca="false">IF(L25&lt;='Read me'!$B$4,"Yes",IF(L25&lt;='Read me'!$B$5,"Stretch","No"))</f>
        <v>Yes</v>
      </c>
      <c r="AA25" s="22" t="s">
        <v>447</v>
      </c>
    </row>
    <row r="26" customFormat="false" ht="26.85" hidden="false" customHeight="false" outlineLevel="0" collapsed="false">
      <c r="A26" s="22" t="s">
        <v>448</v>
      </c>
      <c r="B26" s="22" t="s">
        <v>140</v>
      </c>
      <c r="C26" s="22" t="s">
        <v>449</v>
      </c>
      <c r="D26" s="23" t="s">
        <v>60</v>
      </c>
      <c r="E26" s="24" t="n">
        <v>1987</v>
      </c>
      <c r="F26" s="22" t="s">
        <v>438</v>
      </c>
      <c r="G26" s="22" t="s">
        <v>450</v>
      </c>
      <c r="H26" s="22" t="s">
        <v>439</v>
      </c>
      <c r="I26" s="22" t="n">
        <v>2026</v>
      </c>
      <c r="J26" s="22" t="s">
        <v>451</v>
      </c>
      <c r="K26" s="22" t="s">
        <v>452</v>
      </c>
      <c r="L26" s="25" t="n">
        <v>1568000</v>
      </c>
      <c r="M26" s="26" t="n">
        <f aca="false">L26/E26</f>
        <v>789.129340714645</v>
      </c>
      <c r="N26" s="22" t="s">
        <v>442</v>
      </c>
      <c r="O26" s="22" t="s">
        <v>443</v>
      </c>
      <c r="P26" s="22" t="s">
        <v>444</v>
      </c>
      <c r="Q26" s="22" t="s">
        <v>453</v>
      </c>
      <c r="R26" s="22" t="s">
        <v>423</v>
      </c>
      <c r="S26" s="22" t="s">
        <v>454</v>
      </c>
      <c r="T26" s="27" t="n">
        <v>3</v>
      </c>
      <c r="U26" s="27" t="n">
        <v>3</v>
      </c>
      <c r="V26" s="27" t="n">
        <v>3</v>
      </c>
      <c r="W26" s="27" t="n">
        <v>4</v>
      </c>
      <c r="X26" s="28" t="n">
        <f aca="false">T26+U26+V26+2*W26</f>
        <v>17</v>
      </c>
      <c r="Y26" s="22" t="n">
        <f aca="false">RANK(X26,$X$2:$X$30)</f>
        <v>16</v>
      </c>
      <c r="Z26" s="22" t="str">
        <f aca="false">IF(L26&lt;='Read me'!$B$4,"Yes",IF(L26&lt;='Read me'!$B$5,"Stretch","No"))</f>
        <v>Yes</v>
      </c>
      <c r="AA26" s="22" t="s">
        <v>447</v>
      </c>
    </row>
    <row r="27" customFormat="false" ht="26.85" hidden="false" customHeight="false" outlineLevel="0" collapsed="false">
      <c r="A27" s="22" t="s">
        <v>455</v>
      </c>
      <c r="B27" s="22" t="s">
        <v>140</v>
      </c>
      <c r="C27" s="22" t="s">
        <v>456</v>
      </c>
      <c r="D27" s="23" t="s">
        <v>60</v>
      </c>
      <c r="E27" s="24" t="n">
        <v>2315</v>
      </c>
      <c r="F27" s="22" t="s">
        <v>438</v>
      </c>
      <c r="G27" s="22" t="s">
        <v>450</v>
      </c>
      <c r="H27" s="22" t="s">
        <v>457</v>
      </c>
      <c r="I27" s="22" t="n">
        <v>2026</v>
      </c>
      <c r="J27" s="22" t="s">
        <v>458</v>
      </c>
      <c r="K27" s="22" t="s">
        <v>459</v>
      </c>
      <c r="L27" s="25" t="n">
        <v>1798000</v>
      </c>
      <c r="M27" s="26" t="n">
        <f aca="false">L27/E27</f>
        <v>776.673866090713</v>
      </c>
      <c r="N27" s="22" t="s">
        <v>442</v>
      </c>
      <c r="O27" s="22" t="s">
        <v>443</v>
      </c>
      <c r="P27" s="22" t="s">
        <v>444</v>
      </c>
      <c r="Q27" s="22" t="s">
        <v>453</v>
      </c>
      <c r="R27" s="22" t="s">
        <v>423</v>
      </c>
      <c r="S27" s="22" t="s">
        <v>460</v>
      </c>
      <c r="T27" s="27" t="n">
        <v>3</v>
      </c>
      <c r="U27" s="27" t="n">
        <v>3</v>
      </c>
      <c r="V27" s="27" t="n">
        <v>2</v>
      </c>
      <c r="W27" s="27" t="n">
        <v>1</v>
      </c>
      <c r="X27" s="28" t="n">
        <f aca="false">T27+U27+V27+2*W27</f>
        <v>10</v>
      </c>
      <c r="Y27" s="22" t="n">
        <f aca="false">RANK(X27,$X$2:$X$30)</f>
        <v>29</v>
      </c>
      <c r="Z27" s="22" t="str">
        <f aca="false">IF(L27&lt;='Read me'!$B$4,"Yes",IF(L27&lt;='Read me'!$B$5,"Stretch","No"))</f>
        <v>Yes</v>
      </c>
      <c r="AA27" s="22" t="s">
        <v>447</v>
      </c>
    </row>
    <row r="28" customFormat="false" ht="26.85" hidden="false" customHeight="false" outlineLevel="0" collapsed="false">
      <c r="A28" s="22" t="s">
        <v>461</v>
      </c>
      <c r="B28" s="22" t="s">
        <v>108</v>
      </c>
      <c r="C28" s="22" t="s">
        <v>462</v>
      </c>
      <c r="D28" s="23" t="s">
        <v>60</v>
      </c>
      <c r="E28" s="24" t="n">
        <v>1516</v>
      </c>
      <c r="F28" s="22" t="s">
        <v>463</v>
      </c>
      <c r="G28" s="22" t="s">
        <v>233</v>
      </c>
      <c r="H28" s="22" t="s">
        <v>464</v>
      </c>
      <c r="I28" s="22" t="n">
        <v>1949</v>
      </c>
      <c r="J28" s="22" t="s">
        <v>196</v>
      </c>
      <c r="K28" s="22" t="s">
        <v>465</v>
      </c>
      <c r="L28" s="25" t="n">
        <v>1890000</v>
      </c>
      <c r="M28" s="26" t="n">
        <f aca="false">L28/E28</f>
        <v>1246.7018469657</v>
      </c>
      <c r="N28" s="22" t="s">
        <v>466</v>
      </c>
      <c r="O28" s="22" t="s">
        <v>467</v>
      </c>
      <c r="P28" s="22" t="s">
        <v>468</v>
      </c>
      <c r="Q28" s="22" t="s">
        <v>469</v>
      </c>
      <c r="R28" s="22" t="s">
        <v>264</v>
      </c>
      <c r="S28" s="22" t="s">
        <v>470</v>
      </c>
      <c r="T28" s="27" t="n">
        <v>3</v>
      </c>
      <c r="U28" s="27" t="n">
        <v>3</v>
      </c>
      <c r="V28" s="27" t="n">
        <v>2</v>
      </c>
      <c r="W28" s="27" t="n">
        <v>4</v>
      </c>
      <c r="X28" s="28" t="n">
        <f aca="false">T28+U28+V28+2*W28</f>
        <v>16</v>
      </c>
      <c r="Y28" s="22" t="n">
        <f aca="false">RANK(X28,$X$2:$X$30)</f>
        <v>21</v>
      </c>
      <c r="Z28" s="22" t="str">
        <f aca="false">IF(L28&lt;='Read me'!$B$4,"Yes",IF(L28&lt;='Read me'!$B$5,"Stretch","No"))</f>
        <v>Yes</v>
      </c>
      <c r="AA28" s="22" t="s">
        <v>447</v>
      </c>
    </row>
    <row r="29" customFormat="false" ht="39.55" hidden="false" customHeight="false" outlineLevel="0" collapsed="false">
      <c r="A29" s="22" t="s">
        <v>471</v>
      </c>
      <c r="B29" s="22" t="s">
        <v>108</v>
      </c>
      <c r="C29" s="22" t="s">
        <v>472</v>
      </c>
      <c r="D29" s="23" t="s">
        <v>60</v>
      </c>
      <c r="E29" s="24" t="n">
        <v>1538</v>
      </c>
      <c r="F29" s="22" t="s">
        <v>473</v>
      </c>
      <c r="G29" s="22" t="s">
        <v>474</v>
      </c>
      <c r="H29" s="22" t="s">
        <v>475</v>
      </c>
      <c r="I29" s="22" t="n">
        <v>1920</v>
      </c>
      <c r="J29" s="22" t="s">
        <v>196</v>
      </c>
      <c r="K29" s="22" t="s">
        <v>476</v>
      </c>
      <c r="L29" s="25" t="n">
        <v>1888000</v>
      </c>
      <c r="M29" s="26" t="n">
        <f aca="false">L29/E29</f>
        <v>1227.56827048114</v>
      </c>
      <c r="N29" s="22" t="s">
        <v>477</v>
      </c>
      <c r="O29" s="22" t="s">
        <v>478</v>
      </c>
      <c r="P29" s="22" t="s">
        <v>479</v>
      </c>
      <c r="Q29" s="22" t="s">
        <v>480</v>
      </c>
      <c r="R29" s="22" t="s">
        <v>481</v>
      </c>
      <c r="S29" s="22" t="s">
        <v>482</v>
      </c>
      <c r="T29" s="27" t="n">
        <v>3</v>
      </c>
      <c r="U29" s="27" t="n">
        <v>2</v>
      </c>
      <c r="V29" s="27" t="n">
        <v>2</v>
      </c>
      <c r="W29" s="27" t="n">
        <v>4</v>
      </c>
      <c r="X29" s="28" t="n">
        <f aca="false">T29+U29+V29+2*W29</f>
        <v>15</v>
      </c>
      <c r="Y29" s="22" t="n">
        <f aca="false">RANK(X29,$X$2:$X$30)</f>
        <v>26</v>
      </c>
      <c r="Z29" s="22" t="str">
        <f aca="false">IF(L29&lt;='Read me'!$B$4,"Yes",IF(L29&lt;='Read me'!$B$5,"Stretch","No"))</f>
        <v>Yes</v>
      </c>
      <c r="AA29" s="22" t="s">
        <v>447</v>
      </c>
    </row>
    <row r="30" customFormat="false" ht="39.55" hidden="false" customHeight="false" outlineLevel="0" collapsed="false">
      <c r="A30" s="22" t="s">
        <v>483</v>
      </c>
      <c r="B30" s="22" t="s">
        <v>140</v>
      </c>
      <c r="C30" s="22" t="s">
        <v>484</v>
      </c>
      <c r="D30" s="23" t="s">
        <v>60</v>
      </c>
      <c r="E30" s="24" t="n">
        <v>2032</v>
      </c>
      <c r="F30" s="22" t="s">
        <v>485</v>
      </c>
      <c r="G30" s="22" t="s">
        <v>486</v>
      </c>
      <c r="H30" s="22" t="s">
        <v>487</v>
      </c>
      <c r="I30" s="22" t="n">
        <v>1970</v>
      </c>
      <c r="J30" s="22" t="s">
        <v>196</v>
      </c>
      <c r="K30" s="22" t="s">
        <v>488</v>
      </c>
      <c r="L30" s="25" t="n">
        <v>1275000</v>
      </c>
      <c r="M30" s="26" t="n">
        <f aca="false">L30/E30</f>
        <v>627.46062992126</v>
      </c>
      <c r="N30" s="22" t="s">
        <v>489</v>
      </c>
      <c r="O30" s="22" t="s">
        <v>490</v>
      </c>
      <c r="P30" s="22" t="s">
        <v>491</v>
      </c>
      <c r="Q30" s="22" t="s">
        <v>492</v>
      </c>
      <c r="R30" s="22" t="s">
        <v>493</v>
      </c>
      <c r="S30" s="22" t="s">
        <v>494</v>
      </c>
      <c r="T30" s="27" t="n">
        <v>3</v>
      </c>
      <c r="U30" s="27" t="n">
        <v>3</v>
      </c>
      <c r="V30" s="27" t="n">
        <v>4</v>
      </c>
      <c r="W30" s="27" t="n">
        <v>4</v>
      </c>
      <c r="X30" s="28" t="n">
        <f aca="false">T30+U30+V30+2*W30</f>
        <v>18</v>
      </c>
      <c r="Y30" s="22" t="n">
        <f aca="false">RANK(X30,$X$2:$X$30)</f>
        <v>11</v>
      </c>
      <c r="Z30" s="22" t="str">
        <f aca="false">IF(L30&lt;='Read me'!$B$4,"Yes",IF(L30&lt;='Read me'!$B$5,"Stretch","No"))</f>
        <v>Yes</v>
      </c>
      <c r="AA30" s="22" t="s">
        <v>447</v>
      </c>
    </row>
    <row r="32" customFormat="false" ht="15" hidden="false" customHeight="false" outlineLevel="0" collapsed="false">
      <c r="A32" s="29" t="s">
        <v>495</v>
      </c>
    </row>
  </sheetData>
  <autoFilter ref="A1:AA30"/>
  <hyperlinks>
    <hyperlink ref="D2" r:id="rId2" display="Open listing"/>
    <hyperlink ref="D3" r:id="rId3" display="Open listing"/>
    <hyperlink ref="D4" r:id="rId4" display="Open listing"/>
    <hyperlink ref="D5" r:id="rId5" display="Open listing"/>
    <hyperlink ref="D6" r:id="rId6" display="Open listing"/>
    <hyperlink ref="D7" r:id="rId7" display="Open listing"/>
    <hyperlink ref="D8" r:id="rId8" display="Open listing"/>
    <hyperlink ref="D9" r:id="rId9" display="Open listing"/>
    <hyperlink ref="D10" r:id="rId10" display="Open listing"/>
    <hyperlink ref="D11" r:id="rId11" display="Open listing"/>
    <hyperlink ref="D12" r:id="rId12" display="Open listing"/>
    <hyperlink ref="D13" r:id="rId13" display="Open listing"/>
    <hyperlink ref="D14" r:id="rId14" display="Open listing"/>
    <hyperlink ref="D15" r:id="rId15" display="Open listing"/>
    <hyperlink ref="D16" r:id="rId16" display="Open listing"/>
    <hyperlink ref="D17" r:id="rId17" display="Open listing"/>
    <hyperlink ref="D18" r:id="rId18" display="Open listing"/>
    <hyperlink ref="D19" r:id="rId19" display="Open listing"/>
    <hyperlink ref="D20" r:id="rId20" display="Open listing"/>
    <hyperlink ref="D21" r:id="rId21" display="Open listing"/>
    <hyperlink ref="D22" r:id="rId22" display="Open listing"/>
    <hyperlink ref="D23" r:id="rId23" display="Open listing"/>
    <hyperlink ref="D24" r:id="rId24" display="Open listing"/>
    <hyperlink ref="D25" r:id="rId25" display="Open listing"/>
    <hyperlink ref="D26" r:id="rId26" display="Open listing"/>
    <hyperlink ref="D27" r:id="rId27" display="Open listing"/>
    <hyperlink ref="D28" r:id="rId28" display="Open listing"/>
    <hyperlink ref="D29" r:id="rId29" display="Open listing"/>
    <hyperlink ref="D30" r:id="rId30" display="Open list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1"/>
  <legacy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2026-10-28T07:36:08Z</dcterms:created>
  <dc:creator>openpyxl</dc:creator>
  <dc:description/>
  <dc:language>en-US</dc:language>
  <cp:lastModifiedBy/>
  <dcterms:modified xsi:type="dcterms:W3CDTF">2026-10-28T07:36:08Z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