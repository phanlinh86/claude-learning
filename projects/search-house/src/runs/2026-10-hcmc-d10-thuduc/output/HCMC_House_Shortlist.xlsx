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Websites" sheetId="2" state="visible" r:id="rId4"/>
    <sheet name="All listings" sheetId="3" state="visible" r:id="rId5"/>
    <sheet name="Shortlist" sheetId="4" state="visible" r:id="rId6"/>
  </sheets>
  <definedNames>
    <definedName function="false" hidden="true" localSheetId="2" name="_xlnm._FilterDatabase" vbProcedure="false">'All listings'!$A$1:$N$51</definedName>
    <definedName function="false" hidden="true" localSheetId="3" name="_xlnm._FilterDatabase" vbProcedure="false">Shortlist!$A$1:$Z$22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T1" authorId="0">
      <text>
        <r>
          <rPr>
            <sz val="10"/>
            <rFont val="Arial"/>
            <family val="2"/>
          </rPr>
          <t xml:space="preserve">1-5 from research agents: security reputation, flooding, traffic, planning</t>
        </r>
      </text>
    </comment>
    <comment ref="W1" authorId="0">
      <text>
        <r>
          <rPr>
            <sz val="10"/>
            <rFont val="Arial"/>
            <family val="2"/>
          </rPr>
          <t xml:space="preserve">1-5: how much of the ad (address, title, size) could be confirmed</t>
        </r>
      </text>
    </comment>
  </commentList>
</comments>
</file>

<file path=xl/sharedStrings.xml><?xml version="1.0" encoding="utf-8"?>
<sst xmlns="http://schemas.openxmlformats.org/spreadsheetml/2006/main" count="757" uniqueCount="425">
  <si>
    <t xml:space="preserve">House search: District 10 &amp; Thủ Đức, HCMC</t>
  </si>
  <si>
    <t xml:space="preserve">Prepared</t>
  </si>
  <si>
    <t xml:space="preserve">27 Oct 2026</t>
  </si>
  <si>
    <t xml:space="preserve">Exchange rate (VND per USD)</t>
  </si>
  <si>
    <t xml:space="preserve">Budget (USD)</t>
  </si>
  <si>
    <t xml:space="preserve">Budget in VND billion (tỷ)</t>
  </si>
  <si>
    <t xml:space="preserve">Minimum land area (m2)</t>
  </si>
  <si>
    <t xml:space="preserve">Sheets</t>
  </si>
  <si>
    <t xml:space="preserve">Websites = best sites to search. All listings = every ad collected, with budget/area checks. Shortlist = houses passing the filter, with nearby market, supermarket, primary school, hospital, safety notes and scores.</t>
  </si>
  <si>
    <t xml:space="preserve">Edit</t>
  </si>
  <si>
    <t xml:space="preserve">Yellow cells are inputs. Change the exchange rate, budget or minimum area and every USD price and pass/fail check recalculates.</t>
  </si>
  <si>
    <t xml:space="preserve">Scoring</t>
  </si>
  <si>
    <t xml:space="preserve">Safety, Livability, Value and Verification are 1-5 from the research agents. Total = Safety + Livability + Value + 2 x Verification (title/address confirmation counts double, because unverified cheap listings are the main risk in this market).</t>
  </si>
  <si>
    <t xml:space="preserve">Ward names</t>
  </si>
  <si>
    <t xml:space="preserve">HCMC merged wards on 1 July 2025: old D10 wards are now Vườn Lài, Hòa Hưng, Diên Hồng; old Thủ Đức wards are now Hiệp Bình, Tam Bình, Linh Xuân, Thủ Đức, etc.</t>
  </si>
  <si>
    <t xml:space="preserve">Caveats</t>
  </si>
  <si>
    <t xml:space="preserve">Distances are estimates from street geography, not map measurements - check on Google Maps. Several listing pages blocked automated access, so some details come from site index pages. Always see the sổ hồng (title), hoàn công (completion certificate) and a planning (quy hoạch) check before any deposit.</t>
  </si>
  <si>
    <t xml:space="preserve">Rate source</t>
  </si>
  <si>
    <t xml:space="preserve">Vietcombank transfer buying rate 25,660 on 27/10/2026: https://webgia.com/ty-gia/vietcombank/</t>
  </si>
  <si>
    <t xml:space="preserve">Website</t>
  </si>
  <si>
    <t xml:space="preserve">URL</t>
  </si>
  <si>
    <t xml:space="preserve">Why use it</t>
  </si>
  <si>
    <t xml:space="preserve">batdongsan.com.vn</t>
  </si>
  <si>
    <t xml:space="preserve">https://batdongsan.com.vn</t>
  </si>
  <si>
    <t xml:space="preserve">Largest portal in Vietnam; most listings, price history, verified-title badges. Blocks automated access, so browse it yourself.</t>
  </si>
  <si>
    <t xml:space="preserve">nhatot.com (Chợ Tốt Nhà)</t>
  </si>
  <si>
    <t xml:space="preserve">https://www.nhatot.com</t>
  </si>
  <si>
    <t xml:space="preserve">Huge volume of owner (chính chủ) posts; good filters by price and area.</t>
  </si>
  <si>
    <t xml:space="preserve">muaban.net</t>
  </si>
  <si>
    <t xml:space="preserve">https://muaban.net/bat-dong-san</t>
  </si>
  <si>
    <t xml:space="preserve">Large classifieds site with ward-level pages and daily updates; main source for this shortlist.</t>
  </si>
  <si>
    <t xml:space="preserve">alonhadat.com.vn</t>
  </si>
  <si>
    <t xml:space="preserve">https://alonhadat.com.vn</t>
  </si>
  <si>
    <t xml:space="preserve">Long-running classifieds; shows new and old ward names and average price per m2 by ward.</t>
  </si>
  <si>
    <t xml:space="preserve">homedy.com</t>
  </si>
  <si>
    <t xml:space="preserve">https://homedy.com</t>
  </si>
  <si>
    <t xml:space="preserve">Portal with district price guides and many Thủ Đức listings.</t>
  </si>
  <si>
    <t xml:space="preserve">mogi.vn</t>
  </si>
  <si>
    <t xml:space="preserve">https://mogi.vn</t>
  </si>
  <si>
    <t xml:space="preserve">Sister site of muaban.net; useful price-per-m2 maps (mogi.vn/gia-nha-dat).</t>
  </si>
  <si>
    <t xml:space="preserve">nhadat24h.net</t>
  </si>
  <si>
    <t xml:space="preserve">https://nhadat24h.net</t>
  </si>
  <si>
    <t xml:space="preserve">Smaller portal; useful cross-check for District 10.</t>
  </si>
  <si>
    <t xml:space="preserve">bds123.vn / i-batdongsan.com / 123nhadatviet.com</t>
  </si>
  <si>
    <t xml:space="preserve">https://bds123.vn</t>
  </si>
  <si>
    <t xml:space="preserve">Secondary aggregators; same houses often reposted, good for spotting duplicates.</t>
  </si>
  <si>
    <t xml:space="preserve">#</t>
  </si>
  <si>
    <t xml:space="preserve">Site</t>
  </si>
  <si>
    <t xml:space="preserve">Listing title</t>
  </si>
  <si>
    <t xml:space="preserve">Link</t>
  </si>
  <si>
    <t xml:space="preserve">Area</t>
  </si>
  <si>
    <t xml:space="preserve">Ward (new/old)</t>
  </si>
  <si>
    <t xml:space="preserve">Land m2</t>
  </si>
  <si>
    <t xml:space="preserve">Price (tỷ VND)</t>
  </si>
  <si>
    <t xml:space="preserve">Posted</t>
  </si>
  <si>
    <t xml:space="preserve">Price (USD)</t>
  </si>
  <si>
    <t xml:space="preserve">tr VND / m2</t>
  </si>
  <si>
    <t xml:space="preserve">&gt; min area?</t>
  </si>
  <si>
    <t xml:space="preserve">Within budget?</t>
  </si>
  <si>
    <t xml:space="preserve">Outcome / reason</t>
  </si>
  <si>
    <t xml:space="preserve">muaban</t>
  </si>
  <si>
    <t xml:space="preserve">Hẻm Lê Hồng Phong, 50m ra MT, 63.7m2</t>
  </si>
  <si>
    <t xml:space="preserve">Open ad</t>
  </si>
  <si>
    <t xml:space="preserve">D10</t>
  </si>
  <si>
    <t xml:space="preserve">Vườn Lài (P10)</t>
  </si>
  <si>
    <t xml:space="preserve">27/10/2026</t>
  </si>
  <si>
    <t xml:space="preserve">Shortlisted D10-1</t>
  </si>
  <si>
    <t xml:space="preserve">Bắc Hải, ngay CV Lê Thị Riêng, 53.2m2</t>
  </si>
  <si>
    <t xml:space="preserve">Hòa Hưng (P15)</t>
  </si>
  <si>
    <t xml:space="preserve">Oct 2026</t>
  </si>
  <si>
    <t xml:space="preserve">Shortlisted D10-2</t>
  </si>
  <si>
    <t xml:space="preserve">HXH 156 Tô Hiến Thành</t>
  </si>
  <si>
    <t xml:space="preserve">Over budget</t>
  </si>
  <si>
    <t xml:space="preserve">Sát MT hẻm 377 CMT8</t>
  </si>
  <si>
    <t xml:space="preserve">Hòa Hưng (P12)</t>
  </si>
  <si>
    <t xml:space="preserve">Over budget, &lt;50m2</t>
  </si>
  <si>
    <t xml:space="preserve">Nhà mới hẻm 4m Nguyễn Tiểu La</t>
  </si>
  <si>
    <t xml:space="preserve">Diên Hồng (P6)</t>
  </si>
  <si>
    <t xml:space="preserve">HXH Tô Hiến Thành 4.9x18m</t>
  </si>
  <si>
    <t xml:space="preserve">Hòa Hưng (P13)</t>
  </si>
  <si>
    <t xml:space="preserve">HXH Sư Vạn Hạnh, hầm 5 tầng</t>
  </si>
  <si>
    <t xml:space="preserve">Góc 2MT Nguyễn Duy Dương</t>
  </si>
  <si>
    <t xml:space="preserve">Vườn Lài (P4)</t>
  </si>
  <si>
    <t xml:space="preserve">&lt;50m2</t>
  </si>
  <si>
    <t xml:space="preserve">HXH nhà cấp 4 Cao Thắng 70m2</t>
  </si>
  <si>
    <t xml:space="preserve">Hẻm xe tải Thành Thái 27m2</t>
  </si>
  <si>
    <t xml:space="preserve">Diên Hồng (P14)</t>
  </si>
  <si>
    <t xml:space="preserve">HXH gần Ngã Sáu Dân Chủ 44m2</t>
  </si>
  <si>
    <t xml:space="preserve">Hẻm 462 Nguyễn Tri Phương 23m2</t>
  </si>
  <si>
    <t xml:space="preserve">Vườn Lài (P9)</t>
  </si>
  <si>
    <t xml:space="preserve">Cấp 4 hẻm 4m Điện Biên Phủ 45m2</t>
  </si>
  <si>
    <t xml:space="preserve">Vườn Lài (P11)</t>
  </si>
  <si>
    <t xml:space="preserve">Sư Vạn Hạnh hẻm thông 47m2</t>
  </si>
  <si>
    <t xml:space="preserve">2MT Bà Hạt 40m2</t>
  </si>
  <si>
    <t xml:space="preserve">Vĩnh Viễn 35m2</t>
  </si>
  <si>
    <t xml:space="preserve">alonhadat</t>
  </si>
  <si>
    <t xml:space="preserve">Bà Hạt P9, 7.2x7.6m, 5 tầng</t>
  </si>
  <si>
    <t xml:space="preserve">Over budget (rooming house)</t>
  </si>
  <si>
    <t xml:space="preserve">Hòa Hưng 4 tầng BTCT 44m2</t>
  </si>
  <si>
    <t xml:space="preserve">Lê Hồng Phong 1 trệt 1 lầu</t>
  </si>
  <si>
    <t xml:space="preserve">22/09/2026</t>
  </si>
  <si>
    <t xml:space="preserve">&lt;50m2 land (60m2 is floor area)</t>
  </si>
  <si>
    <t xml:space="preserve">Hẻm 58 Đồng Nai 55m2</t>
  </si>
  <si>
    <t xml:space="preserve">QL13 phân lô 52m2 3 tầng</t>
  </si>
  <si>
    <t xml:space="preserve">Thủ Đức</t>
  </si>
  <si>
    <t xml:space="preserve">Hiệp Bình (HBP)</t>
  </si>
  <si>
    <t xml:space="preserve">Shortlisted TD-01</t>
  </si>
  <si>
    <t xml:space="preserve">Gần Vạn Phúc City 100m2 HXH</t>
  </si>
  <si>
    <t xml:space="preserve">Shortlisted TD-02</t>
  </si>
  <si>
    <t xml:space="preserve">QL13 51m2 3 tầng</t>
  </si>
  <si>
    <t xml:space="preserve">Shortlisted TD-03</t>
  </si>
  <si>
    <t xml:space="preserve">2 mặt hẻm QL13 84m2</t>
  </si>
  <si>
    <t xml:space="preserve">Sep 2026</t>
  </si>
  <si>
    <t xml:space="preserve">Shortlisted TD-04</t>
  </si>
  <si>
    <t xml:space="preserve">QL13 sát Vạn Phúc 60m2</t>
  </si>
  <si>
    <t xml:space="preserve">Shortlisted TD-05</t>
  </si>
  <si>
    <t xml:space="preserve">QL13 56m2 3 tầng</t>
  </si>
  <si>
    <t xml:space="preserve">28/10/2026</t>
  </si>
  <si>
    <t xml:space="preserve">Shortlisted TD-06 (likely duplicate of TD-05)</t>
  </si>
  <si>
    <t xml:space="preserve">MT Đường số 10 Hiệp Bình 51.6m2</t>
  </si>
  <si>
    <t xml:space="preserve">Hiệp Bình (HBC)</t>
  </si>
  <si>
    <t xml:space="preserve">Shortlisted TD-07</t>
  </si>
  <si>
    <t xml:space="preserve">Tô Ngọc Vân 60m2</t>
  </si>
  <si>
    <t xml:space="preserve">Tam Bình</t>
  </si>
  <si>
    <t xml:space="preserve">Shortlisted TD-08</t>
  </si>
  <si>
    <t xml:space="preserve">Cấp 4 đường số 4 Tam Phú 70m2</t>
  </si>
  <si>
    <t xml:space="preserve">Tam Bình (Tam Phú)</t>
  </si>
  <si>
    <t xml:space="preserve">Shortlisted TD-09</t>
  </si>
  <si>
    <t xml:space="preserve">Tam Bình 136m2 3.3 tỷ</t>
  </si>
  <si>
    <t xml:space="preserve">Shortlisted TD-10 (high risk)</t>
  </si>
  <si>
    <t xml:space="preserve">Gần Phạm Văn Đồng Linh Tây 57m2</t>
  </si>
  <si>
    <t xml:space="preserve">Thủ Đức (Linh Tây)</t>
  </si>
  <si>
    <t xml:space="preserve">15/10/2026</t>
  </si>
  <si>
    <t xml:space="preserve">Shortlisted TD-11</t>
  </si>
  <si>
    <t xml:space="preserve">Linh Chiểu sát Metro 52m2</t>
  </si>
  <si>
    <t xml:space="preserve">Thủ Đức (Linh Chiểu)</t>
  </si>
  <si>
    <t xml:space="preserve">25/10/2026</t>
  </si>
  <si>
    <t xml:space="preserve">Shortlisted TD-12</t>
  </si>
  <si>
    <t xml:space="preserve">HXH phân lô Linh Đông 52m2</t>
  </si>
  <si>
    <t xml:space="preserve">Hiệp Bình (Linh Đông)</t>
  </si>
  <si>
    <t xml:space="preserve">19/10/2026</t>
  </si>
  <si>
    <t xml:space="preserve">Shortlisted TD-13</t>
  </si>
  <si>
    <t xml:space="preserve">Đường số 8 Linh Xuân 53m2</t>
  </si>
  <si>
    <t xml:space="preserve">Linh Xuân</t>
  </si>
  <si>
    <t xml:space="preserve">23/10/2026</t>
  </si>
  <si>
    <t xml:space="preserve">Shortlisted TD-14</t>
  </si>
  <si>
    <t xml:space="preserve">Ngô Chí Quốc Bình Chiểu 53m2</t>
  </si>
  <si>
    <t xml:space="preserve">Tam Bình (Bình Chiểu)</t>
  </si>
  <si>
    <t xml:space="preserve">Jul 2026</t>
  </si>
  <si>
    <t xml:space="preserve">Shortlisted TD-15</t>
  </si>
  <si>
    <t xml:space="preserve">batdongsan</t>
  </si>
  <si>
    <t xml:space="preserve">Đường 5 Linh Trung ~60m2</t>
  </si>
  <si>
    <t xml:space="preserve">Linh Xuân (Linh Trung)</t>
  </si>
  <si>
    <t xml:space="preserve">2026</t>
  </si>
  <si>
    <t xml:space="preserve">Shortlisted TD-16</t>
  </si>
  <si>
    <t xml:space="preserve">Ngay Vincom Thủ Đức 88m2 4 tầng</t>
  </si>
  <si>
    <t xml:space="preserve">Thủ Đức (Bình Thọ)</t>
  </si>
  <si>
    <t xml:space="preserve">28/07/2026</t>
  </si>
  <si>
    <t xml:space="preserve">Shortlisted TD-17 (rooming house)</t>
  </si>
  <si>
    <t xml:space="preserve">Cấp 4 Lã Xuân Oai 76m2</t>
  </si>
  <si>
    <t xml:space="preserve">Tăng Nhơn Phú</t>
  </si>
  <si>
    <t xml:space="preserve">Shortlisted TD-18</t>
  </si>
  <si>
    <t xml:space="preserve">HXH Nguyễn Xiển Long Bình 62m2</t>
  </si>
  <si>
    <t xml:space="preserve">Long Bình</t>
  </si>
  <si>
    <t xml:space="preserve">Shortlisted TD-19</t>
  </si>
  <si>
    <t xml:space="preserve">QL13 nhà mới 5 tầng 62m2</t>
  </si>
  <si>
    <t xml:space="preserve">QL13 50m2 5 tỷ</t>
  </si>
  <si>
    <t xml:space="preserve">Not more than 50m2</t>
  </si>
  <si>
    <t xml:space="preserve">HXH 3 tầng mới Linh Tây 63m2</t>
  </si>
  <si>
    <t xml:space="preserve">Just over budget (~$304k) - negotiate</t>
  </si>
  <si>
    <t xml:space="preserve">Dãy trọ sau GigaMall 173.9m2</t>
  </si>
  <si>
    <t xml:space="preserve">Rooming block, not a family home</t>
  </si>
  <si>
    <t xml:space="preserve">Đặng Văn Bi 100m2 3 tầng</t>
  </si>
  <si>
    <t xml:space="preserve">Thủ Đức (Trường Thọ)</t>
  </si>
  <si>
    <t xml:space="preserve">Đường 19 sau GigaMall 65m2 1.65 tỷ</t>
  </si>
  <si>
    <t xml:space="preserve">Oct 2025</t>
  </si>
  <si>
    <t xml:space="preserve">Implausible price (~25tr/m2) - likely bait/vi bằng</t>
  </si>
  <si>
    <t xml:space="preserve">Đường 52 HBC 47m2</t>
  </si>
  <si>
    <t xml:space="preserve">Đặng Văn Bi sát Metro 30m2</t>
  </si>
  <si>
    <t xml:space="preserve">Đường số 4 Trường Thọ 98m2</t>
  </si>
  <si>
    <t xml:space="preserve">Bình Thọ hẻm 6m 64m2</t>
  </si>
  <si>
    <t xml:space="preserve">Kha Vạn Cân nhà + trọ 176m2</t>
  </si>
  <si>
    <t xml:space="preserve">ID</t>
  </si>
  <si>
    <t xml:space="preserve">Address</t>
  </si>
  <si>
    <t xml:space="preserve">Ad link</t>
  </si>
  <si>
    <t xml:space="preserve">Floors</t>
  </si>
  <si>
    <t xml:space="preserve">Bed/WC</t>
  </si>
  <si>
    <t xml:space="preserve">Alley / car access</t>
  </si>
  <si>
    <t xml:space="preserve">Legal (title)</t>
  </si>
  <si>
    <t xml:space="preserve">Price (tỷ)</t>
  </si>
  <si>
    <t xml:space="preserve">tr VND/m2</t>
  </si>
  <si>
    <t xml:space="preserve">Market</t>
  </si>
  <si>
    <t xml:space="preserve">Supermarket</t>
  </si>
  <si>
    <t xml:space="preserve">Primary school</t>
  </si>
  <si>
    <t xml:space="preserve">Hospital</t>
  </si>
  <si>
    <t xml:space="preserve">Safety &amp; flooding</t>
  </si>
  <si>
    <t xml:space="preserve">Red flags</t>
  </si>
  <si>
    <t xml:space="preserve">Safety 1-5</t>
  </si>
  <si>
    <t xml:space="preserve">Livability 1-5</t>
  </si>
  <si>
    <t xml:space="preserve">Value 1-5</t>
  </si>
  <si>
    <t xml:space="preserve">Verification 1-5</t>
  </si>
  <si>
    <t xml:space="preserve">Total score</t>
  </si>
  <si>
    <t xml:space="preserve">Rank (all)</t>
  </si>
  <si>
    <t xml:space="preserve">Status</t>
  </si>
  <si>
    <t xml:space="preserve">D10-1</t>
  </si>
  <si>
    <t xml:space="preserve">Hẻm ~50 m off Lê Hồng Phong, old P10 Q10 (now Vườn Lài)</t>
  </si>
  <si>
    <t xml:space="preserve">Trệt + lửng + 2 lầu</t>
  </si>
  <si>
    <t xml:space="preserve">3/3</t>
  </si>
  <si>
    <t xml:space="preserve">'Hẻm rộng' - width not stated</t>
  </si>
  <si>
    <t xml:space="preserve">Not stated</t>
  </si>
  <si>
    <t xml:space="preserve">Chợ Hồ Thị Kỷ ~0.8 km - busy wet &amp; flower market</t>
  </si>
  <si>
    <t xml:space="preserve">Bách Hóa Xanh ~0.3 km; Co.opXtra Vạn Hạnh Mall ~1.5 km</t>
  </si>
  <si>
    <t xml:space="preserve">TH Hồ Thị Kỷ ~0.8 km - listed among top public primary schools in D10</t>
  </si>
  <si>
    <t xml:space="preserve">BV Nhi Đồng 1 ~1.2 km (top children's hospital); Chợ Rẫy ~1.5 km (top public general)</t>
  </si>
  <si>
    <t xml:space="preserve">Central, dense; normal inner-city petty theft; no flood reports; peak-hour congestion.</t>
  </si>
  <si>
    <t xml:space="preserve">~96 tr/m2 = 40-55% below D10 average; no sổ hồng or house number - verify title &amp; planning first.</t>
  </si>
  <si>
    <t xml:space="preserve">D10-2</t>
  </si>
  <si>
    <t xml:space="preserve">Bắc Hải near Lê Thị Riêng park, old P15 Q10 (now Hòa Hưng)</t>
  </si>
  <si>
    <t xml:space="preserve">Trệt + lửng</t>
  </si>
  <si>
    <t xml:space="preserve">2/?</t>
  </si>
  <si>
    <t xml:space="preserve">1 lot from main road</t>
  </si>
  <si>
    <t xml:space="preserve">Unknown</t>
  </si>
  <si>
    <t xml:space="preserve">Chợ Ông Tạ ~1.3 km - large well-known market</t>
  </si>
  <si>
    <t xml:space="preserve">GO! Miền Đông (ex Big C) ~0.8 km</t>
  </si>
  <si>
    <t xml:space="preserve">TH Thiên Hộ Dương ~1 km - on D10 top public schools list</t>
  </si>
  <si>
    <t xml:space="preserve">BV Nhân dân 115 ~1.5 km (large public, stroke/emergency); BV Thống Nhất ~1.5 km</t>
  </si>
  <si>
    <t xml:space="preserve">Quiet cư xá Bắc Hải by the park, good reputation; Tô Hiến Thành pools in heavy rain.</t>
  </si>
  <si>
    <t xml:space="preserve">'5xxx' teaser price, far below comparable 160-260 tr/m2; ad no longer in the index - likely stale/bait.</t>
  </si>
  <si>
    <t xml:space="preserve">Avoid</t>
  </si>
  <si>
    <t xml:space="preserve">TD-01</t>
  </si>
  <si>
    <t xml:space="preserve">Off QL13, phân lô area, Hiệp Bình Phước (now Hiệp Bình)</t>
  </si>
  <si>
    <t xml:space="preserve">3 tầng</t>
  </si>
  <si>
    <t xml:space="preserve">3-4/3</t>
  </si>
  <si>
    <t xml:space="preserve">Car alley</t>
  </si>
  <si>
    <t xml:space="preserve">Chợ Hiệp Bình / Bình Triệu ~1.5-2 km</t>
  </si>
  <si>
    <t xml:space="preserve">Bách Hóa Xanh QL13 ~0.5 km; GigaMall ~3 km</t>
  </si>
  <si>
    <t xml:space="preserve">TH Hiệp Bình Phước ~1 km - public ward school</t>
  </si>
  <si>
    <t xml:space="preserve">Hoàn Mỹ Thủ Đức ~3-4 km (private, well regarded); BV TP Thủ Đức ~5 km</t>
  </si>
  <si>
    <t xml:space="preserve">QL13 traffic &amp; accidents; low-lying, floods at high tide; QL13 widening works to 2028.</t>
  </si>
  <si>
    <t xml:space="preserve">~131 tr/m2 above area average; bedroom count inconsistent; check QL13 widening plan.</t>
  </si>
  <si>
    <t xml:space="preserve">TD-02</t>
  </si>
  <si>
    <t xml:space="preserve">Near Vạn Phúc City, riverside side of QL13, Hiệp Bình Phước</t>
  </si>
  <si>
    <t xml:space="preserve">3 tầng + sân thượng</t>
  </si>
  <si>
    <t xml:space="preserve">Car alley + private garage</t>
  </si>
  <si>
    <t xml:space="preserve">Sổ đỏ/hồng stated</t>
  </si>
  <si>
    <t xml:space="preserve">Expired listing</t>
  </si>
  <si>
    <t xml:space="preserve">Chợ Hiệp Bình ~2 km</t>
  </si>
  <si>
    <t xml:space="preserve">Bách Hóa Xanh QL13 ~0.5-1 km; GigaMall ~3 km</t>
  </si>
  <si>
    <t xml:space="preserve">TH Hiệp Bình Phước ~1-1.5 km</t>
  </si>
  <si>
    <t xml:space="preserve">Hoàn Mỹ Thủ Đức ~4 km; BV TP Thủ Đức ~5 km</t>
  </si>
  <si>
    <t xml:space="preserve">Vạn Phúc gives better security &amp; upscale neighbours; low-lying, record tide Oct 2026.</t>
  </si>
  <si>
    <t xml:space="preserve">Listing marked expired - may be sold; only 2 PN on 100 m2; check hoàn công &amp; setback.</t>
  </si>
  <si>
    <t xml:space="preserve">TD-03</t>
  </si>
  <si>
    <t xml:space="preserve">'On QL13', Hiệp Bình Phước (exact alley not given)</t>
  </si>
  <si>
    <t xml:space="preserve">3/2</t>
  </si>
  <si>
    <t xml:space="preserve">Chợ Bình Triệu / Hiệp Bình ~1.5-2 km</t>
  </si>
  <si>
    <t xml:space="preserve">Bách Hóa Xanh ~0.5 km; Co.opmart Tam Bình ~3 km</t>
  </si>
  <si>
    <t xml:space="preserve">TH Hiệp Bình Phước ~1 km</t>
  </si>
  <si>
    <t xml:space="preserve">Hoàn Mỹ Thủ Đức ~3-4 km</t>
  </si>
  <si>
    <t xml:space="preserve">Same as TD-01 plus main-road noise/dust.</t>
  </si>
  <si>
    <t xml:space="preserve">Vague '6.x tỷ' price, no address/legal; QL13 widening risk.</t>
  </si>
  <si>
    <t xml:space="preserve">TD-04</t>
  </si>
  <si>
    <t xml:space="preserve">QL13 alley, 2 mặt hẻm, Hiệp Bình Phước</t>
  </si>
  <si>
    <t xml:space="preserve">3/?</t>
  </si>
  <si>
    <t xml:space="preserve">Front &amp; back alley</t>
  </si>
  <si>
    <t xml:space="preserve">Chợ Hiệp Bình / Bình Triệu ~1.5-2.5 km</t>
  </si>
  <si>
    <t xml:space="preserve">Bách Hóa Xanh QL13 ~0.5-1 km; GigaMall ~3-4 km</t>
  </si>
  <si>
    <t xml:space="preserve">Public primary (old HBP) ~1 km - ward short of classrooms (SGGP)</t>
  </si>
  <si>
    <t xml:space="preserve">BV Quốc tế Hạnh Phúc ~4-5 km (private); BV Nhân dân Gia Định ~6 km</t>
  </si>
  <si>
    <t xml:space="preserve">Dense mixed area; QL13 construction; rain + tide flooding (Hiệp Bình streets flooded Sep 2026).</t>
  </si>
  <si>
    <t xml:space="preserve">Fair ~81 tr/m2; confirm land vs floor area, title, distance to QL13.</t>
  </si>
  <si>
    <t xml:space="preserve">TD-05</t>
  </si>
  <si>
    <t xml:space="preserve">QL13 next to Vạn Phúc City, Hiệp Bình Phước</t>
  </si>
  <si>
    <t xml:space="preserve">?</t>
  </si>
  <si>
    <t xml:space="preserve">Sổ hồng riêng (per title)</t>
  </si>
  <si>
    <t xml:space="preserve">Chợ Bình Triệu / Hiệp Bình ~2 km</t>
  </si>
  <si>
    <t xml:space="preserve">Bách Hóa Xanh ~0.5 km; Vạn Phúc shophouses ~0.5 km</t>
  </si>
  <si>
    <t xml:space="preserve">Overcrowded public primary; private schools in Vạn Phúc</t>
  </si>
  <si>
    <t xml:space="preserve">BV Quốc tế Hạnh Phúc ~4 km</t>
  </si>
  <si>
    <t xml:space="preserve">Better-kept surroundings; flood &amp; QL13 works as TD-04.</t>
  </si>
  <si>
    <t xml:space="preserve">~121 tr/m2 premium for Vạn Phúc name; close to budget ceiling.</t>
  </si>
  <si>
    <t xml:space="preserve">TD-06</t>
  </si>
  <si>
    <t xml:space="preserve">QL13, Hiệp Bình Phước</t>
  </si>
  <si>
    <t xml:space="preserve">Sổ hồng (per title)</t>
  </si>
  <si>
    <t xml:space="preserve">As TD-05</t>
  </si>
  <si>
    <t xml:space="preserve">As TD-05.</t>
  </si>
  <si>
    <t xml:space="preserve">Very likely the same house as TD-05 reposted with different area (56 vs 60 m2).</t>
  </si>
  <si>
    <t xml:space="preserve">TD-07</t>
  </si>
  <si>
    <t xml:space="preserve">Đường số 10 frontage, Hiệp Bình (old Hiệp Bình Chánh)</t>
  </si>
  <si>
    <t xml:space="preserve">4 tầng</t>
  </si>
  <si>
    <t xml:space="preserve">6/4</t>
  </si>
  <si>
    <t xml:space="preserve">Street frontage</t>
  </si>
  <si>
    <t xml:space="preserve">Chợ Hiệp Bình ~0.5-1 km</t>
  </si>
  <si>
    <t xml:space="preserve">GigaMall ~1.5-2 km; Bách Hóa Xanh ~0.5 km</t>
  </si>
  <si>
    <t xml:space="preserve">TH Hiệp Bình Chánh ~1 km</t>
  </si>
  <si>
    <t xml:space="preserve">BV Thủ Đức (Grade I, 800 beds) ~4-5 km</t>
  </si>
  <si>
    <t xml:space="preserve">Dense, busy near Ngã tư Bình Phước; some lanes flood.</t>
  </si>
  <si>
    <t xml:space="preserve">6 bedrooms suggests rental build; legal unconfirmed.</t>
  </si>
  <si>
    <t xml:space="preserve">TD-08</t>
  </si>
  <si>
    <t xml:space="preserve">Tô Ngọc Vân, Tam Bình</t>
  </si>
  <si>
    <t xml:space="preserve">Listed as alley house</t>
  </si>
  <si>
    <t xml:space="preserve">Chợ đầu mối nông sản Thủ Đức ~1-2 km (wholesale, night trucks)</t>
  </si>
  <si>
    <t xml:space="preserve">Bách Hóa Xanh ~0.5 km; GigaMall ~2-3 km</t>
  </si>
  <si>
    <t xml:space="preserve">TH Tam Bình ~1 km</t>
  </si>
  <si>
    <t xml:space="preserve">BV Thủ Đức ~1.5-2 km (Grade I)</t>
  </si>
  <si>
    <t xml:space="preserve">Tô Ngọc Vân flooded up to 1 m (Aug 2023); Ring Road 2 works nearby.</t>
  </si>
  <si>
    <t xml:space="preserve">~115 tr/m2; shallow 7.5 m lot; check Ring Road 2 clearance.</t>
  </si>
  <si>
    <t xml:space="preserve">TD-09</t>
  </si>
  <si>
    <t xml:space="preserve">Đường số 4, Tam Phú (now Tam Bình)</t>
  </si>
  <si>
    <t xml:space="preserve">Cấp 4 + gác lửng</t>
  </si>
  <si>
    <t xml:space="preserve">1/?</t>
  </si>
  <si>
    <t xml:space="preserve">Car to door (per index)</t>
  </si>
  <si>
    <t xml:space="preserve">Sổ hồng riêng (per index)</t>
  </si>
  <si>
    <t xml:space="preserve">Chợ Tam Bình ~1-2 km</t>
  </si>
  <si>
    <t xml:space="preserve">Bách Hóa Xanh ~0.5 km</t>
  </si>
  <si>
    <t xml:space="preserve">Public primary in Tam Phú ~1 km</t>
  </si>
  <si>
    <t xml:space="preserve">BV Thủ Đức (29 Phú Châu) ~1 km - Grade I, 800 beds</t>
  </si>
  <si>
    <t xml:space="preserve">Quiet residential lanes; some low streets flood in heavy rain.</t>
  </si>
  <si>
    <t xml:space="preserve">Old house needs rebuild (budget ~1.5-2 tỷ); ad not reopened - confirm still live.</t>
  </si>
  <si>
    <t xml:space="preserve">TD-10</t>
  </si>
  <si>
    <t xml:space="preserve">Tam Bình (street not given)</t>
  </si>
  <si>
    <t xml:space="preserve">1 trệt 1 lầu</t>
  </si>
  <si>
    <t xml:space="preserve">Near truck road</t>
  </si>
  <si>
    <t xml:space="preserve">NOT stated</t>
  </si>
  <si>
    <t xml:space="preserve">Chợ đầu mối Thủ Đức ~1-2 km</t>
  </si>
  <si>
    <t xml:space="preserve">Bách Hóa Xanh ~0.5-1 km</t>
  </si>
  <si>
    <t xml:space="preserve">TH Tam Bình ~1-1.5 km</t>
  </si>
  <si>
    <t xml:space="preserve">BV Thủ Đức ~2 km</t>
  </si>
  <si>
    <t xml:space="preserve">Mixed warehouse area, trucks; flood pattern as Tô Ngọc Vân.</t>
  </si>
  <si>
    <t xml:space="preserve">~24 tr/m2 (a third of market) - typical vi bằng / sổ chung / farmland ad. Avoid unless clean title shown.</t>
  </si>
  <si>
    <t xml:space="preserve">TD-11</t>
  </si>
  <si>
    <t xml:space="preserve">Near Phạm Văn Đồng, old Linh Tây (now Thủ Đức ward)</t>
  </si>
  <si>
    <t xml:space="preserve">1 trệt 2 lầu</t>
  </si>
  <si>
    <t xml:space="preserve">4/3</t>
  </si>
  <si>
    <t xml:space="preserve">Hẻm thông near main road; car access unconfirmed</t>
  </si>
  <si>
    <t xml:space="preserve">Sổ hồng, hoàn công đủ</t>
  </si>
  <si>
    <t xml:space="preserve">Chợ Thủ Đức ~2.5 km - main wet market</t>
  </si>
  <si>
    <t xml:space="preserve">TH Linh Tây ~1 km - public</t>
  </si>
  <si>
    <t xml:space="preserve">BV Đa khoa khu vực Thủ Đức ~3 km (new 1,000-bed, opened 2025)</t>
  </si>
  <si>
    <t xml:space="preserve">Student/university area; wide arterial; seller says high &amp; dry, no flood reports found.</t>
  </si>
  <si>
    <t xml:space="preserve">No exact alley number; confirm alley width.</t>
  </si>
  <si>
    <t xml:space="preserve">TD-12</t>
  </si>
  <si>
    <t xml:space="preserve">Off Đặng Văn Bi, 1 lot from Đường số 9, Linh Chiểu</t>
  </si>
  <si>
    <t xml:space="preserve">Cấp 4</t>
  </si>
  <si>
    <t xml:space="preserve">1/1</t>
  </si>
  <si>
    <t xml:space="preserve">Car alley (cars pass)</t>
  </si>
  <si>
    <t xml:space="preserve">'Giấy tờ hợp lệ' - sổ hồng unclear</t>
  </si>
  <si>
    <t xml:space="preserve">Chợ Thủ Đức ~1 km</t>
  </si>
  <si>
    <t xml:space="preserve">Vincom Plaza Thủ Đức ~1.5 km</t>
  </si>
  <si>
    <t xml:space="preserve">TH Đặng Văn Bi ~0.5-1 km</t>
  </si>
  <si>
    <t xml:space="preserve">BV TP Thủ Đức ~3 km</t>
  </si>
  <si>
    <t xml:space="preserve">Chợ Thủ Đức / Kha Vạn Cân zone floods ankle-to-knee (SGGP); near Metro Line 1.</t>
  </si>
  <si>
    <t xml:space="preserve">URL says 48 m2 vs 52 m2; vague legal; needs rebuild.</t>
  </si>
  <si>
    <t xml:space="preserve">TD-13</t>
  </si>
  <si>
    <t xml:space="preserve">Off Đường số 8, Linh Đông phân lô (now Hiệp Bình)</t>
  </si>
  <si>
    <t xml:space="preserve">&gt;150 m2 use; 3/3</t>
  </si>
  <si>
    <t xml:space="preserve">SHR, hoàn công đủ, no setback</t>
  </si>
  <si>
    <t xml:space="preserve">Chợ Linh Đông ~1.5 km</t>
  </si>
  <si>
    <t xml:space="preserve">GigaMall ~1.5 km</t>
  </si>
  <si>
    <t xml:space="preserve">TH Linh Đông ~1 km</t>
  </si>
  <si>
    <t xml:space="preserve">Planned phân lô cluster; Linh Đông roads flooded Aug 2025 - check lane level.</t>
  </si>
  <si>
    <t xml:space="preserve">~131 tr/m2, premium price.</t>
  </si>
  <si>
    <t xml:space="preserve">TD-14</t>
  </si>
  <si>
    <t xml:space="preserve">131/46 Đường số 8, Linh Xuân</t>
  </si>
  <si>
    <t xml:space="preserve">Trệt + 2 lầu + sân thượng</t>
  </si>
  <si>
    <t xml:space="preserve">3/2 (146 m2 use)</t>
  </si>
  <si>
    <t xml:space="preserve">Car alley, 7 m road nearby</t>
  </si>
  <si>
    <t xml:space="preserve">Sổ hồng (hoàn công to confirm)</t>
  </si>
  <si>
    <t xml:space="preserve">Chợ Xuân Hiệp ~0.3-0.5 km</t>
  </si>
  <si>
    <t xml:space="preserve">Bách Hóa Xanh nearby; GO! Dĩ An ~3 km</t>
  </si>
  <si>
    <t xml:space="preserve">TH Linh Xuân / Xuân Hiệp ~0.5-1 km</t>
  </si>
  <si>
    <t xml:space="preserve">BV Đa khoa khu vực Thủ Đức ~2.5 km; BV ĐHQG ~4 km</t>
  </si>
  <si>
    <t xml:space="preserve">Quiet, clean area beside a football field &amp; Linh Xuân cultural centre; no flood reports found.</t>
  </si>
  <si>
    <t xml:space="preserve">Confirm hoàn công; shallow 11 m lot; farthest of the group from D10.</t>
  </si>
  <si>
    <t xml:space="preserve">MAIN PICK</t>
  </si>
  <si>
    <t xml:space="preserve">TD-15</t>
  </si>
  <si>
    <t xml:space="preserve">Ngô Chí Quốc, Bình Chiểu (now Tam Bình)</t>
  </si>
  <si>
    <t xml:space="preserve">2/3</t>
  </si>
  <si>
    <t xml:space="preserve">Hẻm ô tô tránh</t>
  </si>
  <si>
    <t xml:space="preserve">Not confirmed</t>
  </si>
  <si>
    <t xml:space="preserve">Chợ Bình Chiểu ~1 km</t>
  </si>
  <si>
    <t xml:space="preserve">Bách Hóa Xanh ~0.5 km; GO! Dĩ An ~4 km</t>
  </si>
  <si>
    <t xml:space="preserve">TH Bình Chiểu ~1-1.5 km</t>
  </si>
  <si>
    <t xml:space="preserve">BV Thủ Đức ~4-5 km</t>
  </si>
  <si>
    <t xml:space="preserve">Beside Bình Chiểu industrial zone (workers, rooming houses, past bag-snatching reports); heavy trucks.</t>
  </si>
  <si>
    <t xml:space="preserve">Title says 'nhỉnh 4 tỷ' vs 4.9 tỷ - negotiate; only 2 PN.</t>
  </si>
  <si>
    <t xml:space="preserve">TD-16</t>
  </si>
  <si>
    <t xml:space="preserve">Đường số 5, Linh Trung (now Linh Xuân) near Hoàng Diệu 2</t>
  </si>
  <si>
    <t xml:space="preserve">2/2</t>
  </si>
  <si>
    <t xml:space="preserve">Chợ Nhỏ ~1 km - busy, cheap</t>
  </si>
  <si>
    <t xml:space="preserve">Bách Hóa Xanh ~0.5 km; Vincom Thủ Đức ~2.5 km</t>
  </si>
  <si>
    <t xml:space="preserve">TH Linh Trung ~1 km</t>
  </si>
  <si>
    <t xml:space="preserve">BV Đa khoa khu vực Thủ Đức ~1-1.5 km</t>
  </si>
  <si>
    <t xml:space="preserve">Student/worker area between Linh Trung EPZ and VNU; petty theft reported; no flood reports.</t>
  </si>
  <si>
    <t xml:space="preserve">Only category page link (batdongsan) - search the title there; 5.5 m frontage is good.</t>
  </si>
  <si>
    <t xml:space="preserve">TD-17</t>
  </si>
  <si>
    <t xml:space="preserve">Alley near Vincom Thủ Đức, Bình Thọ</t>
  </si>
  <si>
    <t xml:space="preserve">7/7</t>
  </si>
  <si>
    <t xml:space="preserve">Ô tô tránh</t>
  </si>
  <si>
    <t xml:space="preserve">Chợ Thủ Đức ~1.5 km</t>
  </si>
  <si>
    <t xml:space="preserve">Vincom Thủ Đức / WinMart ~0.5 km</t>
  </si>
  <si>
    <t xml:space="preserve">TH Bình Thọ ~1 km</t>
  </si>
  <si>
    <t xml:space="preserve">BV Đa khoa khu vực Thủ Đức ~2.5 km</t>
  </si>
  <si>
    <t xml:space="preserve">Central and safer; near Metro; Võ Văn Ngân traffic.</t>
  </si>
  <si>
    <t xml:space="preserve">7 PN / 7 WC = rooming house; ~66 tr/m2 far below area 100-150 - suspicious.</t>
  </si>
  <si>
    <t xml:space="preserve">TD-18</t>
  </si>
  <si>
    <t xml:space="preserve">Off Lã Xuân Oai, Tăng Nhơn Phú A (old Q9)</t>
  </si>
  <si>
    <t xml:space="preserve">Chợ Tăng Nhơn Phú ~1 km</t>
  </si>
  <si>
    <t xml:space="preserve">Bách Hóa Xanh &lt;1 km; Vincom Lê Văn Việt ~2-3 km</t>
  </si>
  <si>
    <t xml:space="preserve">Public primary TNP ward ~1 km</t>
  </si>
  <si>
    <t xml:space="preserve">BV Quân dân y miền Đông ~2.5 km (500 beds, MRI, emergency)</t>
  </si>
  <si>
    <t xml:space="preserve">Quiet established area; Lã Xuân Oai flooded 300 m in Aug 2023; ~40-50 min to D10.</t>
  </si>
  <si>
    <t xml:space="preserve">Old house needs rebuild; verify title.</t>
  </si>
  <si>
    <t xml:space="preserve">TD-19</t>
  </si>
  <si>
    <t xml:space="preserve">Alley on Nguyễn Xiển, Long Bình (old Q9)</t>
  </si>
  <si>
    <t xml:space="preserve">2 tầng</t>
  </si>
  <si>
    <t xml:space="preserve">4/?</t>
  </si>
  <si>
    <t xml:space="preserve">Car alley (per title)</t>
  </si>
  <si>
    <t xml:space="preserve">Local Long Bình market ~2 km</t>
  </si>
  <si>
    <t xml:space="preserve">Vincom Mega Mall Grand Park ~1.5-3 km</t>
  </si>
  <si>
    <t xml:space="preserve">Public primary Long Bình ~1.5 km</t>
  </si>
  <si>
    <t xml:space="preserve">Vinmec Grand Park clinic ~2 km; nearest full hospital ~6-7 km</t>
  </si>
  <si>
    <t xml:space="preserve">Newer area, container trucks; far from hospitals; 50-70 min to D10.</t>
  </si>
  <si>
    <t xml:space="preserve">~80 tr/m2 above Long Bình average 56; check Nguyễn Xiển widening.</t>
  </si>
  <si>
    <t xml:space="preserve">Green = main pick; orange = avoid (stale, duplicate, rooming house or implausible price). Scores from research agents (blue = inputs you can change). Distances are estimates.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</si>
</sst>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$#,##0"/>
    <numFmt numFmtId="167" formatCode="0.00"/>
    <numFmt numFmtId="168" formatCode="0"/>
    <numFmt numFmtId="169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batdongsan.com.vn/" TargetMode="External"/><Relationship Id="rId2" Type="http://schemas.openxmlformats.org/officeDocument/2006/relationships/hyperlink" Target="https://www.nhatot.com/" TargetMode="External"/><Relationship Id="rId3" Type="http://schemas.openxmlformats.org/officeDocument/2006/relationships/hyperlink" Target="https://muaban.net/bat-dong-san" TargetMode="External"/><Relationship Id="rId4" Type="http://schemas.openxmlformats.org/officeDocument/2006/relationships/hyperlink" Target="https://alonhadat.com.vn/" TargetMode="External"/><Relationship Id="rId5" Type="http://schemas.openxmlformats.org/officeDocument/2006/relationships/hyperlink" Target="https://homedy.com/" TargetMode="External"/><Relationship Id="rId6" Type="http://schemas.openxmlformats.org/officeDocument/2006/relationships/hyperlink" Target="https://mogi.vn/" TargetMode="External"/><Relationship Id="rId7" Type="http://schemas.openxmlformats.org/officeDocument/2006/relationships/hyperlink" Target="https://nhadat24h.net/" TargetMode="External"/><Relationship Id="rId8" Type="http://schemas.openxmlformats.org/officeDocument/2006/relationships/hyperlink" Target="https://bds123.vn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muaban.net/bat-dong-san/ban-nha-hem-ngo-quan-10-ho-chi-minh/cach-mat-tien-le-hong-phong-quan-10-chi-50m-63-7m2-gia-ban-6ty150-id71287720" TargetMode="External"/><Relationship Id="rId2" Type="http://schemas.openxmlformats.org/officeDocument/2006/relationships/hyperlink" Target="https://muaban.net/bat-dong-san/ban-nha-hem-ngo-quan-10-ho-chi-minh/ngay-cong-vien-le-thi-rieng-q10-cach-1-can-ra-mat-tien-53-2m-5xxx-id71288820" TargetMode="External"/><Relationship Id="rId3" Type="http://schemas.openxmlformats.org/officeDocument/2006/relationships/hyperlink" Target="https://muaban.net/bat-dong-san/ban-nha-hem-ngo-quan-10-ho-chi-minh/nha-ban-hem-xe-hoi-thong-156-to-hien-thanh-quan-10-ke-cho-thuoc-tay-id70951747" TargetMode="External"/><Relationship Id="rId4" Type="http://schemas.openxmlformats.org/officeDocument/2006/relationships/hyperlink" Target="https://muaban.net/bat-dong-san/ban-nha-hem-ngo-quan-10-ho-chi-minh/nha-ban-sat-mt-hem-377-cmt8-quan-10-khong-vuong-quy-hoach-tod-metro2-id71143825" TargetMode="External"/><Relationship Id="rId5" Type="http://schemas.openxmlformats.org/officeDocument/2006/relationships/hyperlink" Target="https://muaban.net/bat-dong-san/ban-nha-hem-ngo-quan-10-ho-chi-minh/ban-nha-moi-100-hem-4m-thong-nguyen-tieu-la-phuong-6-quan-10-id71127096" TargetMode="External"/><Relationship Id="rId6" Type="http://schemas.openxmlformats.org/officeDocument/2006/relationships/hyperlink" Target="https://muaban.net/bat-dong-san/ban-nha-hem-ngo-quan-10-ho-chi-minh/ban-nha-hxh-to-hien-thanh-hoa-hung-q10-dt-4-9x18m-5-tang-6pn-5wc-id71275855" TargetMode="External"/><Relationship Id="rId7" Type="http://schemas.openxmlformats.org/officeDocument/2006/relationships/hyperlink" Target="https://muaban.net/bat-dong-san/ban-nha-hem-ngo-quan-10-ho-chi-minh/nha-su-van-hanh-3-8x15m-ham-2-lau-st-gia-17-5-ty-tl-id71221554" TargetMode="External"/><Relationship Id="rId8" Type="http://schemas.openxmlformats.org/officeDocument/2006/relationships/hyperlink" Target="https://muaban.net/bat-dong-san/ban-nha-hem-ngo-quan-10-ho-chi-minh/ban-nha-goc-2mt-nguyen-duy-duong-4-tang-moi-dep-3-8m-x-7-5m-30m-id71189409" TargetMode="External"/><Relationship Id="rId9" Type="http://schemas.openxmlformats.org/officeDocument/2006/relationships/hyperlink" Target="https://muaban.net/bat-dong-san/ban-nha-hem-ngo-quan-10-ho-chi-minh/hem-xe-hoi-nha-cap-4-quan-10-moi-100-70m-dat-gia-ban-180tr-m-id71286994" TargetMode="External"/><Relationship Id="rId10" Type="http://schemas.openxmlformats.org/officeDocument/2006/relationships/hyperlink" Target="https://muaban.net/bat-dong-san/ban-nha-hem-ngo-quan-10-ho-chi-minh/chinh-chu-ban-nha-hem-xe-tai-khu-thanh-thai-q10-dtsd-100m2-5-25ty-id71275157" TargetMode="External"/><Relationship Id="rId11" Type="http://schemas.openxmlformats.org/officeDocument/2006/relationships/hyperlink" Target="https://muaban.net/bat-dong-san/ban-nha-hem-ngo-quan-10-ho-chi-minh/ban-gap-nha-moi-dep-hem-xe-hoi-quan-10-gan-nga-sau-dan-chu-44m-id71286442" TargetMode="External"/><Relationship Id="rId12" Type="http://schemas.openxmlformats.org/officeDocument/2006/relationships/hyperlink" Target="https://muaban.net/bat-dong-san/ban-nha-hem-ngo-quan-10-ho-chi-minh/chinh-chu-ban-nha-hem-462-nguyen-tri-phuong-q10-chi-5-2-ty-id71285909" TargetMode="External"/><Relationship Id="rId13" Type="http://schemas.openxmlformats.org/officeDocument/2006/relationships/hyperlink" Target="https://muaban.net/bat-dong-san/ban-nha-hem-ngo-quan-10-ho-chi-minh/ban-nha-cap-4-tien-xay-moi-45m-vuong-quan-10-hem-4m-id71286508" TargetMode="External"/><Relationship Id="rId14" Type="http://schemas.openxmlformats.org/officeDocument/2006/relationships/hyperlink" Target="https://muaban.net/bat-dong-san/ban-nha-hem-ngo-quan-10-ho-chi-minh/su-van-hanh-q10-hem-thong-sat-mat-tien-ngang-4-4m-chi-8ty-id71299421" TargetMode="External"/><Relationship Id="rId15" Type="http://schemas.openxmlformats.org/officeDocument/2006/relationships/hyperlink" Target="https://muaban.net/bat-dong-san/ban-nha-hem-ngo-quan-10-ho-chi-minh/2-mat-tien-truoc-sau-40m-vuong-dat-quan-10-gia-chi-5-5-ty-id71286992" TargetMode="External"/><Relationship Id="rId16" Type="http://schemas.openxmlformats.org/officeDocument/2006/relationships/hyperlink" Target="https://muaban.net/bat-dong-san/ban-nha-hem-ngo-quan-10-ho-chi-minh/nha-moi-dep-o-to-4-cho-toi-nha-35m-vinh-vien-q10-chi-4-xx-ty-id71313745" TargetMode="External"/><Relationship Id="rId17" Type="http://schemas.openxmlformats.org/officeDocument/2006/relationships/hyperlink" Target="https://alonhadat.com.vn/ban-nha-duong-ba-hat-p9-quan-10-dt-7-2x7-6m-5-tang-10p-gia-8-8-ty-tl--19160427.html" TargetMode="External"/><Relationship Id="rId18" Type="http://schemas.openxmlformats.org/officeDocument/2006/relationships/hyperlink" Target="https://alonhadat.com.vn/hoa-hung-quan-10-4-tang-btct-4pn-gia-chi-6-ty-hon--19150933.html" TargetMode="External"/><Relationship Id="rId19" Type="http://schemas.openxmlformats.org/officeDocument/2006/relationships/hyperlink" Target="https://alonhadat.com.vn/ban-gap-nha-1-tret-1-lau-dtsd-gan-60m-duong-le-hong-phong-trung-tam-quan-10-gia-4-6ty-18832390.html" TargetMode="External"/><Relationship Id="rId20" Type="http://schemas.openxmlformats.org/officeDocument/2006/relationships/hyperlink" Target="https://alonhadat.com.vn/ban-nha-hem-o-to-58-dong-nai-dt-5-9x10-5m-2-lau-p-15-quan-10-gia-12-8-ty-17671993.html" TargetMode="External"/><Relationship Id="rId21" Type="http://schemas.openxmlformats.org/officeDocument/2006/relationships/hyperlink" Target="https://muaban.net/bat-dong-san/ban-nha-hem-ngo-quan-thu-duc-ho-chi-minh/6-8-ti-hem-xe-hoi-khu-phan-lo-ql13-hiep-binh-dt-52-6-8-ty-id71312866" TargetMode="External"/><Relationship Id="rId22" Type="http://schemas.openxmlformats.org/officeDocument/2006/relationships/hyperlink" Target="https://muaban.net/bat-dong-san/ban-nha-hem-ngo-quan-thu-duc-ho-chi-minh/ban-nha-ql13-canh-kdt-van-phuc-100m2-3-tang-hxh-chi-7-2-ty-id71288330" TargetMode="External"/><Relationship Id="rId23" Type="http://schemas.openxmlformats.org/officeDocument/2006/relationships/hyperlink" Target="https://muaban.net/bat-dong-san/ban-nha-hem-ngo-quan-thu-duc-ho-chi-minh/ban-nha-duong-quoc-lo-13-tp-thu-duc-51m-3-tang-gia-6-x-ty-id71299414" TargetMode="External"/><Relationship Id="rId24" Type="http://schemas.openxmlformats.org/officeDocument/2006/relationships/hyperlink" Target="https://alonhadat.com.vn/-84m-3-tang-hon-6-ty-nha-2-mat-hem-truoc-sau-cuc-thoang-hiep-binh-phuoc-19077016.html" TargetMode="External"/><Relationship Id="rId25" Type="http://schemas.openxmlformats.org/officeDocument/2006/relationships/hyperlink" Target="https://alonhadat.com.vn/ban-nha-3-tang-quoc-lo-13-hiep-binh-phuoc-thu-duc-tp-hcm-so-hong-rieng-gia-7-28-ty--19175818.html" TargetMode="External"/><Relationship Id="rId26" Type="http://schemas.openxmlformats.org/officeDocument/2006/relationships/hyperlink" Target="https://alonhadat.com.vn/ban-nha-3-tang-56m2-quoc-lo-13-hiep-binh-phuoc-thu-duc-tp-hcm-gia-7-28-ty-so-19178475.html" TargetMode="External"/><Relationship Id="rId27" Type="http://schemas.openxmlformats.org/officeDocument/2006/relationships/hyperlink" Target="https://muaban.net/bat-dong-san/ban-nha-hem-ngo-quan-thu-duc-ho-chi-minh/ban-nha-mat-tien-duong-so-10-phuong-hiep-binh-quan-thu-duc-gia-5-62ty-id71307983" TargetMode="External"/><Relationship Id="rId28" Type="http://schemas.openxmlformats.org/officeDocument/2006/relationships/hyperlink" Target="https://muaban.net/bat-dong-san/ban-nha-hem-ngo-quan-thu-duc-ho-chi-minh/nha-pho-to-ngoc-van-nha-dep-kinh-doanh-nho-gia-chua-toi-7-ty-id71306627" TargetMode="External"/><Relationship Id="rId29" Type="http://schemas.openxmlformats.org/officeDocument/2006/relationships/hyperlink" Target="https://alonhadat.com.vn/ban-can-nha-cap-4-70m-duong-so-4-phuong-tam-phu-thu-duc--19177650.html" TargetMode="External"/><Relationship Id="rId30" Type="http://schemas.openxmlformats.org/officeDocument/2006/relationships/hyperlink" Target="https://muaban.net/bat-dong-san/ban-nha-hem-ngo-quan-thu-duc-ho-chi-minh/hiem-nha-gap-ban-p-tam-binh-chi-3-3-ty-id71303169" TargetMode="External"/><Relationship Id="rId31" Type="http://schemas.openxmlformats.org/officeDocument/2006/relationships/hyperlink" Target="https://muaban.net/bat-dong-san/ban-nha-hem-ngo-quan-thu-duc-ho-chi-minh/ban-nha-duong-pham5-van-dong-phuong-linh-tay-cu-5-5ty-nha-3lau-id71279552" TargetMode="External"/><Relationship Id="rId32" Type="http://schemas.openxmlformats.org/officeDocument/2006/relationships/hyperlink" Target="https://muaban.net/bat-dong-san/ban-nha-hem-ngo-quan-thu-duc-ho-chi-minh/ban-nha-ngay-trung-tam-thu-duc-day-du-tien-ich-48m2-sat-ben-metro-id71309761" TargetMode="External"/><Relationship Id="rId33" Type="http://schemas.openxmlformats.org/officeDocument/2006/relationships/hyperlink" Target="https://muaban.net/bat-dong-san/ban-nha-hem-ngo-quan-thu-duc-ho-chi-minh/hem-xe-hoi-3-tang-6-8-ty-khu-phan-lo-dong-bo-linh-dong-cu-shr-id71292910" TargetMode="External"/><Relationship Id="rId34" Type="http://schemas.openxmlformats.org/officeDocument/2006/relationships/hyperlink" Target="https://muaban.net/bat-dong-san/ban-nha-hem-ngo-quan-thu-duc-ho-chi-minh/bap-nha-khu-dan-tri-cao-an-ninh-tot-duong-so-8-linh-xuan-thu-duc-tphcm-id71280682" TargetMode="External"/><Relationship Id="rId35" Type="http://schemas.openxmlformats.org/officeDocument/2006/relationships/hyperlink" Target="https://alonhadat.com.vn/ban-nha-4-tang-ngo-chi-quoc-binh-chieu-hem-o-to-tranh-53m2-4mx14m-nhinh-4-ty-tl--18941822.html" TargetMode="External"/><Relationship Id="rId36" Type="http://schemas.openxmlformats.org/officeDocument/2006/relationships/hyperlink" Target="https://batdongsan.com.vn/ban-nha-rieng-duong-5-71" TargetMode="External"/><Relationship Id="rId37" Type="http://schemas.openxmlformats.org/officeDocument/2006/relationships/hyperlink" Target="https://batdongsan.com.vn/ban-nha-rieng-duong-5-71" TargetMode="External"/><Relationship Id="rId38" Type="http://schemas.openxmlformats.org/officeDocument/2006/relationships/hyperlink" Target="https://alonhadat.com.vn/ban-nha-cap-4-dt-76m2-la-xuan-oai-tang-nhon-phu-a-q9-thu-duc-tp-hcm-gia-4-64-ty--19176275.html" TargetMode="External"/><Relationship Id="rId39" Type="http://schemas.openxmlformats.org/officeDocument/2006/relationships/hyperlink" Target="https://alonhadat.com.vn/ban-nha-hxh-duong-nguyen-xien-phuong-long-binh-thanh-pho-thu-duc-4-990-ty-19178915.html" TargetMode="External"/><Relationship Id="rId40" Type="http://schemas.openxmlformats.org/officeDocument/2006/relationships/hyperlink" Target="https://muaban.net/bat-dong-san/ban-nha-hem-ngo-quan-thu-duc-ho-chi-minh/nha-moi-xay-xong-quoc-lo-13-5-tang-co-san-thuong-gia-chi-9-x-ty-id71315668" TargetMode="External"/><Relationship Id="rId41" Type="http://schemas.openxmlformats.org/officeDocument/2006/relationships/hyperlink" Target="https://muaban.net/bat-dong-san/ban-nha-hem-ngo-quan-thu-duc-ho-chi-minh/nha-pho-quoc-lo-13-50m-hop-gia-dinh-nho-gia-chi-5-ty-id71315241" TargetMode="External"/><Relationship Id="rId42" Type="http://schemas.openxmlformats.org/officeDocument/2006/relationships/hyperlink" Target="https://muaban.net/bat-dong-san/ban-nha-hem-ngo-quan-thu-duc-ho-chi-minh/hem-xe-hoi-3tang-moi-toanh-p-linh-tay-cu-7-8-ty-shr-hoan-cong-id71296149" TargetMode="External"/><Relationship Id="rId43" Type="http://schemas.openxmlformats.org/officeDocument/2006/relationships/hyperlink" Target="https://muaban.net/bat-dong-san/ban-nha-hem-ngo-quan-thu-duc-ho-chi-minh/tro-duyen-ban-day-tro-gan-200m2-gia-7-6-ty-ha-gia-con-6-9-thuong-id71305333" TargetMode="External"/><Relationship Id="rId44" Type="http://schemas.openxmlformats.org/officeDocument/2006/relationships/hyperlink" Target="https://muaban.net/bat-dong-san/ban-nha-hem-ngo-quan-thu-duc-ho-chi-minh/nha-3-tang-100m2-dang-van-bi-truong-tho-shr-hoan-cong-id71289381" TargetMode="External"/><Relationship Id="rId45" Type="http://schemas.openxmlformats.org/officeDocument/2006/relationships/hyperlink" Target="https://muaban.net/bat-dong-san/ban-nha-hem-ngo-quan-thu-duc-ho-chi-minh/ly-di-chia-tai-san-ban-gap-nhanh-nha-duong-19-sau-lung-gigamal-thu-duc-id70239987" TargetMode="External"/><Relationship Id="rId46" Type="http://schemas.openxmlformats.org/officeDocument/2006/relationships/hyperlink" Target="https://muaban.net/bat-dong-san/ban-nha-hem-ngo-quan-thu-duc-ho-chi-minh/nha-chinh-chu-so-hong-duong-52-phuong-hiep-binh-chanh-id71301479" TargetMode="External"/><Relationship Id="rId47" Type="http://schemas.openxmlformats.org/officeDocument/2006/relationships/hyperlink" Target="https://muaban.net/bat-dong-san/ban-nha-hem-ngo-quan-thu-duc-ho-chi-minh/nha-moi-dang-van-bi-hoan-cong-day-du-sat-metro-xa-lo-ha-noi-id71311924" TargetMode="External"/><Relationship Id="rId48" Type="http://schemas.openxmlformats.org/officeDocument/2006/relationships/hyperlink" Target="https://alonhadat.com.vn/ban-nha-duong-so-4-truong-tho-thu-duc-tp-hcm-dt-98m2-4-tang-so-hong-rieng-gia-8-78-19169665.html" TargetMode="External"/><Relationship Id="rId49" Type="http://schemas.openxmlformats.org/officeDocument/2006/relationships/hyperlink" Target="https://alonhadat.com.vn/-binh-tho-hem-6m-chi-10ty5-ngang-5-3m-ngay-vo-van-ngan-nha-2-lau-san-thu-19178695.html" TargetMode="External"/><Relationship Id="rId50" Type="http://schemas.openxmlformats.org/officeDocument/2006/relationships/hyperlink" Target="https://alonhadat.com.vn/nha-hem-o-to-kha-van-can-duong-so-9-linh-tay-ngang-9-5m-176m2-9-5mx19m-chi-8-ty-tl--19179477.html" TargetMode="External"/><Relationship Id="rId5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muaban.net/bat-dong-san/ban-nha-hem-ngo-quan-10-ho-chi-minh/cach-mat-tien-le-hong-phong-quan-10-chi-50m-63-7m2-gia-ban-6ty150-id71287720" TargetMode="External"/><Relationship Id="rId3" Type="http://schemas.openxmlformats.org/officeDocument/2006/relationships/hyperlink" Target="https://muaban.net/bat-dong-san/ban-nha-hem-ngo-quan-10-ho-chi-minh/ngay-cong-vien-le-thi-rieng-q10-cach-1-can-ra-mat-tien-53-2m-5xxx-id71288820" TargetMode="External"/><Relationship Id="rId4" Type="http://schemas.openxmlformats.org/officeDocument/2006/relationships/hyperlink" Target="https://muaban.net/bat-dong-san/ban-nha-hem-ngo-quan-thu-duc-ho-chi-minh/6-8-ti-hem-xe-hoi-khu-phan-lo-ql13-hiep-binh-dt-52-6-8-ty-id71312866" TargetMode="External"/><Relationship Id="rId5" Type="http://schemas.openxmlformats.org/officeDocument/2006/relationships/hyperlink" Target="https://muaban.net/bat-dong-san/ban-nha-hem-ngo-quan-thu-duc-ho-chi-minh/ban-nha-ql13-canh-kdt-van-phuc-100m2-3-tang-hxh-chi-7-2-ty-id71288330" TargetMode="External"/><Relationship Id="rId6" Type="http://schemas.openxmlformats.org/officeDocument/2006/relationships/hyperlink" Target="https://muaban.net/bat-dong-san/ban-nha-hem-ngo-quan-thu-duc-ho-chi-minh/ban-nha-duong-quoc-lo-13-tp-thu-duc-51m-3-tang-gia-6-x-ty-id71299414" TargetMode="External"/><Relationship Id="rId7" Type="http://schemas.openxmlformats.org/officeDocument/2006/relationships/hyperlink" Target="https://alonhadat.com.vn/-84m-3-tang-hon-6-ty-nha-2-mat-hem-truoc-sau-cuc-thoang-hiep-binh-phuoc-19077016.html" TargetMode="External"/><Relationship Id="rId8" Type="http://schemas.openxmlformats.org/officeDocument/2006/relationships/hyperlink" Target="https://alonhadat.com.vn/ban-nha-3-tang-quoc-lo-13-hiep-binh-phuoc-thu-duc-tp-hcm-so-hong-rieng-gia-7-28-ty--19175818.html" TargetMode="External"/><Relationship Id="rId9" Type="http://schemas.openxmlformats.org/officeDocument/2006/relationships/hyperlink" Target="https://alonhadat.com.vn/ban-nha-3-tang-56m2-quoc-lo-13-hiep-binh-phuoc-thu-duc-tp-hcm-gia-7-28-ty-so-19178475.html" TargetMode="External"/><Relationship Id="rId10" Type="http://schemas.openxmlformats.org/officeDocument/2006/relationships/hyperlink" Target="https://muaban.net/bat-dong-san/ban-nha-hem-ngo-quan-thu-duc-ho-chi-minh/ban-nha-mat-tien-duong-so-10-phuong-hiep-binh-quan-thu-duc-gia-5-62ty-id71307983" TargetMode="External"/><Relationship Id="rId11" Type="http://schemas.openxmlformats.org/officeDocument/2006/relationships/hyperlink" Target="https://muaban.net/bat-dong-san/ban-nha-hem-ngo-quan-thu-duc-ho-chi-minh/nha-pho-to-ngoc-van-nha-dep-kinh-doanh-nho-gia-chua-toi-7-ty-id71306627" TargetMode="External"/><Relationship Id="rId12" Type="http://schemas.openxmlformats.org/officeDocument/2006/relationships/hyperlink" Target="https://alonhadat.com.vn/ban-can-nha-cap-4-70m-duong-so-4-phuong-tam-phu-thu-duc--19177650.html" TargetMode="External"/><Relationship Id="rId13" Type="http://schemas.openxmlformats.org/officeDocument/2006/relationships/hyperlink" Target="https://muaban.net/bat-dong-san/ban-nha-hem-ngo-quan-thu-duc-ho-chi-minh/hiem-nha-gap-ban-p-tam-binh-chi-3-3-ty-id71303169" TargetMode="External"/><Relationship Id="rId14" Type="http://schemas.openxmlformats.org/officeDocument/2006/relationships/hyperlink" Target="https://muaban.net/bat-dong-san/ban-nha-hem-ngo-quan-thu-duc-ho-chi-minh/ban-nha-duong-pham5-van-dong-phuong-linh-tay-cu-5-5ty-nha-3lau-id71279552" TargetMode="External"/><Relationship Id="rId15" Type="http://schemas.openxmlformats.org/officeDocument/2006/relationships/hyperlink" Target="https://muaban.net/bat-dong-san/ban-nha-hem-ngo-quan-thu-duc-ho-chi-minh/ban-nha-ngay-trung-tam-thu-duc-day-du-tien-ich-48m2-sat-ben-metro-id71309761" TargetMode="External"/><Relationship Id="rId16" Type="http://schemas.openxmlformats.org/officeDocument/2006/relationships/hyperlink" Target="https://muaban.net/bat-dong-san/ban-nha-hem-ngo-quan-thu-duc-ho-chi-minh/hem-xe-hoi-3-tang-6-8-ty-khu-phan-lo-dong-bo-linh-dong-cu-shr-id71292910" TargetMode="External"/><Relationship Id="rId17" Type="http://schemas.openxmlformats.org/officeDocument/2006/relationships/hyperlink" Target="https://muaban.net/bat-dong-san/ban-nha-hem-ngo-quan-thu-duc-ho-chi-minh/bap-nha-khu-dan-tri-cao-an-ninh-tot-duong-so-8-linh-xuan-thu-duc-tphcm-id71280682" TargetMode="External"/><Relationship Id="rId18" Type="http://schemas.openxmlformats.org/officeDocument/2006/relationships/hyperlink" Target="https://alonhadat.com.vn/ban-nha-4-tang-ngo-chi-quoc-binh-chieu-hem-o-to-tranh-53m2-4mx14m-nhinh-4-ty-tl--18941822.html" TargetMode="External"/><Relationship Id="rId19" Type="http://schemas.openxmlformats.org/officeDocument/2006/relationships/hyperlink" Target="https://batdongsan.com.vn/ban-nha-rieng-duong-5-71" TargetMode="External"/><Relationship Id="rId20" Type="http://schemas.openxmlformats.org/officeDocument/2006/relationships/hyperlink" Target="https://batdongsan.com.vn/ban-nha-rieng-duong-5-71" TargetMode="External"/><Relationship Id="rId21" Type="http://schemas.openxmlformats.org/officeDocument/2006/relationships/hyperlink" Target="https://alonhadat.com.vn/ban-nha-cap-4-dt-76m2-la-xuan-oai-tang-nhon-phu-a-q9-thu-duc-tp-hcm-gia-4-64-ty--19176275.html" TargetMode="External"/><Relationship Id="rId22" Type="http://schemas.openxmlformats.org/officeDocument/2006/relationships/hyperlink" Target="https://alonhadat.com.vn/ban-nha-hxh-duong-nguyen-xien-phuong-long-binh-thanh-pho-thu-duc-4-990-ty-19178915.html" TargetMode="External"/><Relationship Id="rId23" Type="http://schemas.openxmlformats.org/officeDocument/2006/relationships/drawing" Target="../drawings/drawing2.xml"/><Relationship Id="rId24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15" hidden="false" customHeight="false" outlineLevel="0" collapsed="false">
      <c r="A3" s="3"/>
      <c r="B3" s="2"/>
    </row>
    <row r="4" customFormat="false" ht="15" hidden="false" customHeight="false" outlineLevel="0" collapsed="false">
      <c r="A4" s="3" t="s">
        <v>3</v>
      </c>
      <c r="B4" s="4" t="n">
        <v>25660</v>
      </c>
    </row>
    <row r="5" customFormat="false" ht="15" hidden="false" customHeight="false" outlineLevel="0" collapsed="false">
      <c r="A5" s="3" t="s">
        <v>4</v>
      </c>
      <c r="B5" s="5" t="n">
        <v>300000</v>
      </c>
    </row>
    <row r="6" customFormat="false" ht="15" hidden="false" customHeight="false" outlineLevel="0" collapsed="false">
      <c r="A6" s="3" t="s">
        <v>5</v>
      </c>
      <c r="B6" s="6" t="n">
        <f aca="false">B5*B4/1000000000</f>
        <v>7.698</v>
      </c>
    </row>
    <row r="7" customFormat="false" ht="15" hidden="false" customHeight="false" outlineLevel="0" collapsed="false">
      <c r="A7" s="3" t="s">
        <v>6</v>
      </c>
      <c r="B7" s="7" t="n">
        <v>50</v>
      </c>
    </row>
    <row r="8" customFormat="false" ht="15" hidden="false" customHeight="false" outlineLevel="0" collapsed="false">
      <c r="A8" s="3"/>
      <c r="B8" s="2"/>
    </row>
    <row r="9" customFormat="false" ht="39.55" hidden="false" customHeight="false" outlineLevel="0" collapsed="false">
      <c r="A9" s="3" t="s">
        <v>7</v>
      </c>
      <c r="B9" s="2" t="s">
        <v>8</v>
      </c>
    </row>
    <row r="10" customFormat="false" ht="26.85" hidden="false" customHeight="false" outlineLevel="0" collapsed="false">
      <c r="A10" s="3" t="s">
        <v>9</v>
      </c>
      <c r="B10" s="2" t="s">
        <v>10</v>
      </c>
    </row>
    <row r="11" customFormat="false" ht="39.55" hidden="false" customHeight="false" outlineLevel="0" collapsed="false">
      <c r="A11" s="3" t="s">
        <v>11</v>
      </c>
      <c r="B11" s="2" t="s">
        <v>12</v>
      </c>
    </row>
    <row r="12" customFormat="false" ht="26.85" hidden="false" customHeight="false" outlineLevel="0" collapsed="false">
      <c r="A12" s="3" t="s">
        <v>13</v>
      </c>
      <c r="B12" s="2" t="s">
        <v>14</v>
      </c>
    </row>
    <row r="13" customFormat="false" ht="52.2" hidden="false" customHeight="false" outlineLevel="0" collapsed="false">
      <c r="A13" s="3" t="s">
        <v>15</v>
      </c>
      <c r="B13" s="2" t="s">
        <v>16</v>
      </c>
    </row>
    <row r="14" customFormat="false" ht="15" hidden="false" customHeight="false" outlineLevel="0" collapsed="false">
      <c r="A14" s="3" t="s">
        <v>17</v>
      </c>
      <c r="B14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8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8" t="s">
        <v>19</v>
      </c>
      <c r="B1" s="8" t="s">
        <v>20</v>
      </c>
      <c r="C1" s="8" t="s">
        <v>21</v>
      </c>
    </row>
    <row r="2" customFormat="false" ht="26.85" hidden="false" customHeight="false" outlineLevel="0" collapsed="false">
      <c r="A2" s="9" t="s">
        <v>22</v>
      </c>
      <c r="B2" s="10" t="s">
        <v>23</v>
      </c>
      <c r="C2" s="11" t="s">
        <v>24</v>
      </c>
    </row>
    <row r="3" customFormat="false" ht="15" hidden="false" customHeight="false" outlineLevel="0" collapsed="false">
      <c r="A3" s="9" t="s">
        <v>25</v>
      </c>
      <c r="B3" s="10" t="s">
        <v>26</v>
      </c>
      <c r="C3" s="11" t="s">
        <v>27</v>
      </c>
    </row>
    <row r="4" customFormat="false" ht="15" hidden="false" customHeight="false" outlineLevel="0" collapsed="false">
      <c r="A4" s="9" t="s">
        <v>28</v>
      </c>
      <c r="B4" s="10" t="s">
        <v>29</v>
      </c>
      <c r="C4" s="11" t="s">
        <v>30</v>
      </c>
    </row>
    <row r="5" customFormat="false" ht="15" hidden="false" customHeight="false" outlineLevel="0" collapsed="false">
      <c r="A5" s="9" t="s">
        <v>31</v>
      </c>
      <c r="B5" s="10" t="s">
        <v>32</v>
      </c>
      <c r="C5" s="11" t="s">
        <v>33</v>
      </c>
    </row>
    <row r="6" customFormat="false" ht="15" hidden="false" customHeight="false" outlineLevel="0" collapsed="false">
      <c r="A6" s="9" t="s">
        <v>34</v>
      </c>
      <c r="B6" s="10" t="s">
        <v>35</v>
      </c>
      <c r="C6" s="11" t="s">
        <v>36</v>
      </c>
    </row>
    <row r="7" customFormat="false" ht="15" hidden="false" customHeight="false" outlineLevel="0" collapsed="false">
      <c r="A7" s="9" t="s">
        <v>37</v>
      </c>
      <c r="B7" s="10" t="s">
        <v>38</v>
      </c>
      <c r="C7" s="11" t="s">
        <v>39</v>
      </c>
    </row>
    <row r="8" customFormat="false" ht="15" hidden="false" customHeight="false" outlineLevel="0" collapsed="false">
      <c r="A8" s="9" t="s">
        <v>40</v>
      </c>
      <c r="B8" s="10" t="s">
        <v>41</v>
      </c>
      <c r="C8" s="11" t="s">
        <v>42</v>
      </c>
    </row>
    <row r="9" customFormat="false" ht="26.85" hidden="false" customHeight="false" outlineLevel="0" collapsed="false">
      <c r="A9" s="9" t="s">
        <v>43</v>
      </c>
      <c r="B9" s="10" t="s">
        <v>44</v>
      </c>
      <c r="C9" s="11" t="s">
        <v>45</v>
      </c>
    </row>
  </sheetData>
  <hyperlinks>
    <hyperlink ref="B2" r:id="rId1" display="https://batdongsan.com.vn"/>
    <hyperlink ref="B3" r:id="rId2" display="https://www.nhatot.com"/>
    <hyperlink ref="B4" r:id="rId3" display="https://muaban.net/bat-dong-san"/>
    <hyperlink ref="B5" r:id="rId4" display="https://alonhadat.com.vn"/>
    <hyperlink ref="B6" r:id="rId5" display="https://homedy.com"/>
    <hyperlink ref="B7" r:id="rId6" display="https://mogi.vn"/>
    <hyperlink ref="B8" r:id="rId7" display="https://nhadat24h.net"/>
    <hyperlink ref="B9" r:id="rId8" display="https://bds123.v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22"/>
    <col collapsed="false" customWidth="true" hidden="false" outlineLevel="0" max="7" min="7" style="0" width="9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42"/>
  </cols>
  <sheetData>
    <row r="1" customFormat="false" ht="39.55" hidden="false" customHeight="false" outlineLevel="0" collapsed="false">
      <c r="A1" s="8" t="s">
        <v>46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  <c r="H1" s="8" t="s">
        <v>53</v>
      </c>
      <c r="I1" s="8" t="s">
        <v>54</v>
      </c>
      <c r="J1" s="8" t="s">
        <v>55</v>
      </c>
      <c r="K1" s="8" t="s">
        <v>56</v>
      </c>
      <c r="L1" s="8" t="s">
        <v>57</v>
      </c>
      <c r="M1" s="8" t="s">
        <v>58</v>
      </c>
      <c r="N1" s="8" t="s">
        <v>59</v>
      </c>
    </row>
    <row r="2" customFormat="false" ht="15" hidden="false" customHeight="false" outlineLevel="0" collapsed="false">
      <c r="A2" s="11" t="n">
        <v>1</v>
      </c>
      <c r="B2" s="11" t="s">
        <v>60</v>
      </c>
      <c r="C2" s="11" t="s">
        <v>61</v>
      </c>
      <c r="D2" s="10" t="s">
        <v>62</v>
      </c>
      <c r="E2" s="11" t="s">
        <v>63</v>
      </c>
      <c r="F2" s="11" t="s">
        <v>64</v>
      </c>
      <c r="G2" s="11" t="n">
        <v>63.7</v>
      </c>
      <c r="H2" s="12" t="n">
        <v>6.15</v>
      </c>
      <c r="I2" s="11" t="s">
        <v>65</v>
      </c>
      <c r="J2" s="13" t="n">
        <f aca="false">H2*1000000000/'Read me'!$B$4</f>
        <v>239672.642244739</v>
      </c>
      <c r="K2" s="14" t="n">
        <f aca="false">H2*1000/G2</f>
        <v>96.5463108320251</v>
      </c>
      <c r="L2" s="11" t="str">
        <f aca="false">IF(G2&gt;'Read me'!$B$7,"Yes","No")</f>
        <v>Yes</v>
      </c>
      <c r="M2" s="11" t="str">
        <f aca="false">IF(J2&lt;='Read me'!$B$5,"Yes","No")</f>
        <v>Yes</v>
      </c>
      <c r="N2" s="11" t="s">
        <v>66</v>
      </c>
    </row>
    <row r="3" customFormat="false" ht="15" hidden="false" customHeight="false" outlineLevel="0" collapsed="false">
      <c r="A3" s="11" t="n">
        <v>2</v>
      </c>
      <c r="B3" s="11" t="s">
        <v>60</v>
      </c>
      <c r="C3" s="11" t="s">
        <v>67</v>
      </c>
      <c r="D3" s="10" t="s">
        <v>62</v>
      </c>
      <c r="E3" s="11" t="s">
        <v>63</v>
      </c>
      <c r="F3" s="11" t="s">
        <v>68</v>
      </c>
      <c r="G3" s="11" t="n">
        <v>53.2</v>
      </c>
      <c r="H3" s="12" t="n">
        <v>5</v>
      </c>
      <c r="I3" s="11" t="s">
        <v>69</v>
      </c>
      <c r="J3" s="13" t="n">
        <f aca="false">H3*1000000000/'Read me'!$B$4</f>
        <v>194855.80670304</v>
      </c>
      <c r="K3" s="14" t="n">
        <f aca="false">H3*1000/G3</f>
        <v>93.984962406015</v>
      </c>
      <c r="L3" s="11" t="str">
        <f aca="false">IF(G3&gt;'Read me'!$B$7,"Yes","No")</f>
        <v>Yes</v>
      </c>
      <c r="M3" s="11" t="str">
        <f aca="false">IF(J3&lt;='Read me'!$B$5,"Yes","No")</f>
        <v>Yes</v>
      </c>
      <c r="N3" s="11" t="s">
        <v>70</v>
      </c>
    </row>
    <row r="4" customFormat="false" ht="15" hidden="false" customHeight="false" outlineLevel="0" collapsed="false">
      <c r="A4" s="11" t="n">
        <v>3</v>
      </c>
      <c r="B4" s="11" t="s">
        <v>60</v>
      </c>
      <c r="C4" s="11" t="s">
        <v>71</v>
      </c>
      <c r="D4" s="10" t="s">
        <v>62</v>
      </c>
      <c r="E4" s="11" t="s">
        <v>63</v>
      </c>
      <c r="F4" s="11" t="s">
        <v>68</v>
      </c>
      <c r="G4" s="11" t="n">
        <v>57</v>
      </c>
      <c r="H4" s="12" t="n">
        <v>14.5</v>
      </c>
      <c r="I4" s="11" t="s">
        <v>69</v>
      </c>
      <c r="J4" s="13" t="n">
        <f aca="false">H4*1000000000/'Read me'!$B$4</f>
        <v>565081.839438815</v>
      </c>
      <c r="K4" s="14" t="n">
        <f aca="false">H4*1000/G4</f>
        <v>254.385964912281</v>
      </c>
      <c r="L4" s="11" t="str">
        <f aca="false">IF(G4&gt;'Read me'!$B$7,"Yes","No")</f>
        <v>Yes</v>
      </c>
      <c r="M4" s="11" t="str">
        <f aca="false">IF(J4&lt;='Read me'!$B$5,"Yes","No")</f>
        <v>No</v>
      </c>
      <c r="N4" s="11" t="s">
        <v>72</v>
      </c>
    </row>
    <row r="5" customFormat="false" ht="15" hidden="false" customHeight="false" outlineLevel="0" collapsed="false">
      <c r="A5" s="11" t="n">
        <v>4</v>
      </c>
      <c r="B5" s="11" t="s">
        <v>60</v>
      </c>
      <c r="C5" s="11" t="s">
        <v>73</v>
      </c>
      <c r="D5" s="10" t="s">
        <v>62</v>
      </c>
      <c r="E5" s="11" t="s">
        <v>63</v>
      </c>
      <c r="F5" s="11" t="s">
        <v>74</v>
      </c>
      <c r="G5" s="11" t="n">
        <v>44</v>
      </c>
      <c r="H5" s="12" t="n">
        <v>9.5</v>
      </c>
      <c r="I5" s="11" t="s">
        <v>69</v>
      </c>
      <c r="J5" s="13" t="n">
        <f aca="false">H5*1000000000/'Read me'!$B$4</f>
        <v>370226.032735776</v>
      </c>
      <c r="K5" s="14" t="n">
        <f aca="false">H5*1000/G5</f>
        <v>215.909090909091</v>
      </c>
      <c r="L5" s="11" t="str">
        <f aca="false">IF(G5&gt;'Read me'!$B$7,"Yes","No")</f>
        <v>No</v>
      </c>
      <c r="M5" s="11" t="str">
        <f aca="false">IF(J5&lt;='Read me'!$B$5,"Yes","No")</f>
        <v>No</v>
      </c>
      <c r="N5" s="11" t="s">
        <v>75</v>
      </c>
    </row>
    <row r="6" customFormat="false" ht="15" hidden="false" customHeight="false" outlineLevel="0" collapsed="false">
      <c r="A6" s="11" t="n">
        <v>5</v>
      </c>
      <c r="B6" s="11" t="s">
        <v>60</v>
      </c>
      <c r="C6" s="11" t="s">
        <v>76</v>
      </c>
      <c r="D6" s="10" t="s">
        <v>62</v>
      </c>
      <c r="E6" s="11" t="s">
        <v>63</v>
      </c>
      <c r="F6" s="11" t="s">
        <v>77</v>
      </c>
      <c r="G6" s="11" t="n">
        <v>33</v>
      </c>
      <c r="H6" s="12" t="n">
        <v>7.98</v>
      </c>
      <c r="I6" s="11" t="s">
        <v>69</v>
      </c>
      <c r="J6" s="13" t="n">
        <f aca="false">H6*1000000000/'Read me'!$B$4</f>
        <v>310989.867498051</v>
      </c>
      <c r="K6" s="14" t="n">
        <f aca="false">H6*1000/G6</f>
        <v>241.818181818182</v>
      </c>
      <c r="L6" s="11" t="str">
        <f aca="false">IF(G6&gt;'Read me'!$B$7,"Yes","No")</f>
        <v>No</v>
      </c>
      <c r="M6" s="11" t="str">
        <f aca="false">IF(J6&lt;='Read me'!$B$5,"Yes","No")</f>
        <v>No</v>
      </c>
      <c r="N6" s="11" t="s">
        <v>75</v>
      </c>
    </row>
    <row r="7" customFormat="false" ht="15" hidden="false" customHeight="false" outlineLevel="0" collapsed="false">
      <c r="A7" s="11" t="n">
        <v>6</v>
      </c>
      <c r="B7" s="11" t="s">
        <v>60</v>
      </c>
      <c r="C7" s="11" t="s">
        <v>78</v>
      </c>
      <c r="D7" s="10" t="s">
        <v>62</v>
      </c>
      <c r="E7" s="11" t="s">
        <v>63</v>
      </c>
      <c r="F7" s="11" t="s">
        <v>79</v>
      </c>
      <c r="G7" s="11" t="n">
        <v>73</v>
      </c>
      <c r="H7" s="12" t="n">
        <v>14.9</v>
      </c>
      <c r="I7" s="11" t="s">
        <v>69</v>
      </c>
      <c r="J7" s="13" t="n">
        <f aca="false">H7*1000000000/'Read me'!$B$4</f>
        <v>580670.303975059</v>
      </c>
      <c r="K7" s="14" t="n">
        <f aca="false">H7*1000/G7</f>
        <v>204.109589041096</v>
      </c>
      <c r="L7" s="11" t="str">
        <f aca="false">IF(G7&gt;'Read me'!$B$7,"Yes","No")</f>
        <v>Yes</v>
      </c>
      <c r="M7" s="11" t="str">
        <f aca="false">IF(J7&lt;='Read me'!$B$5,"Yes","No")</f>
        <v>No</v>
      </c>
      <c r="N7" s="11" t="s">
        <v>72</v>
      </c>
    </row>
    <row r="8" customFormat="false" ht="15" hidden="false" customHeight="false" outlineLevel="0" collapsed="false">
      <c r="A8" s="11" t="n">
        <v>7</v>
      </c>
      <c r="B8" s="11" t="s">
        <v>60</v>
      </c>
      <c r="C8" s="11" t="s">
        <v>80</v>
      </c>
      <c r="D8" s="10" t="s">
        <v>62</v>
      </c>
      <c r="E8" s="11" t="s">
        <v>63</v>
      </c>
      <c r="F8" s="11" t="s">
        <v>74</v>
      </c>
      <c r="G8" s="11" t="n">
        <v>54</v>
      </c>
      <c r="H8" s="12" t="n">
        <v>17</v>
      </c>
      <c r="I8" s="11" t="s">
        <v>69</v>
      </c>
      <c r="J8" s="13" t="n">
        <f aca="false">H8*1000000000/'Read me'!$B$4</f>
        <v>662509.742790335</v>
      </c>
      <c r="K8" s="14" t="n">
        <f aca="false">H8*1000/G8</f>
        <v>314.814814814815</v>
      </c>
      <c r="L8" s="11" t="str">
        <f aca="false">IF(G8&gt;'Read me'!$B$7,"Yes","No")</f>
        <v>Yes</v>
      </c>
      <c r="M8" s="11" t="str">
        <f aca="false">IF(J8&lt;='Read me'!$B$5,"Yes","No")</f>
        <v>No</v>
      </c>
      <c r="N8" s="11" t="s">
        <v>72</v>
      </c>
    </row>
    <row r="9" customFormat="false" ht="15" hidden="false" customHeight="false" outlineLevel="0" collapsed="false">
      <c r="A9" s="11" t="n">
        <v>8</v>
      </c>
      <c r="B9" s="11" t="s">
        <v>60</v>
      </c>
      <c r="C9" s="11" t="s">
        <v>81</v>
      </c>
      <c r="D9" s="10" t="s">
        <v>62</v>
      </c>
      <c r="E9" s="11" t="s">
        <v>63</v>
      </c>
      <c r="F9" s="11" t="s">
        <v>82</v>
      </c>
      <c r="G9" s="11" t="n">
        <v>30</v>
      </c>
      <c r="H9" s="12" t="n">
        <v>5.18</v>
      </c>
      <c r="I9" s="11" t="s">
        <v>69</v>
      </c>
      <c r="J9" s="13" t="n">
        <f aca="false">H9*1000000000/'Read me'!$B$4</f>
        <v>201870.615744349</v>
      </c>
      <c r="K9" s="14" t="n">
        <f aca="false">H9*1000/G9</f>
        <v>172.666666666667</v>
      </c>
      <c r="L9" s="11" t="str">
        <f aca="false">IF(G9&gt;'Read me'!$B$7,"Yes","No")</f>
        <v>No</v>
      </c>
      <c r="M9" s="11" t="str">
        <f aca="false">IF(J9&lt;='Read me'!$B$5,"Yes","No")</f>
        <v>Yes</v>
      </c>
      <c r="N9" s="11" t="s">
        <v>83</v>
      </c>
    </row>
    <row r="10" customFormat="false" ht="15" hidden="false" customHeight="false" outlineLevel="0" collapsed="false">
      <c r="A10" s="11" t="n">
        <v>9</v>
      </c>
      <c r="B10" s="11" t="s">
        <v>60</v>
      </c>
      <c r="C10" s="11" t="s">
        <v>84</v>
      </c>
      <c r="D10" s="10" t="s">
        <v>62</v>
      </c>
      <c r="E10" s="11" t="s">
        <v>63</v>
      </c>
      <c r="F10" s="11" t="s">
        <v>74</v>
      </c>
      <c r="G10" s="11" t="n">
        <v>70</v>
      </c>
      <c r="H10" s="12" t="n">
        <v>13.5</v>
      </c>
      <c r="I10" s="11" t="s">
        <v>69</v>
      </c>
      <c r="J10" s="13" t="n">
        <f aca="false">H10*1000000000/'Read me'!$B$4</f>
        <v>526110.678098207</v>
      </c>
      <c r="K10" s="14" t="n">
        <f aca="false">H10*1000/G10</f>
        <v>192.857142857143</v>
      </c>
      <c r="L10" s="11" t="str">
        <f aca="false">IF(G10&gt;'Read me'!$B$7,"Yes","No")</f>
        <v>Yes</v>
      </c>
      <c r="M10" s="11" t="str">
        <f aca="false">IF(J10&lt;='Read me'!$B$5,"Yes","No")</f>
        <v>No</v>
      </c>
      <c r="N10" s="11" t="s">
        <v>72</v>
      </c>
    </row>
    <row r="11" customFormat="false" ht="15" hidden="false" customHeight="false" outlineLevel="0" collapsed="false">
      <c r="A11" s="11" t="n">
        <v>10</v>
      </c>
      <c r="B11" s="11" t="s">
        <v>60</v>
      </c>
      <c r="C11" s="11" t="s">
        <v>85</v>
      </c>
      <c r="D11" s="10" t="s">
        <v>62</v>
      </c>
      <c r="E11" s="11" t="s">
        <v>63</v>
      </c>
      <c r="F11" s="11" t="s">
        <v>86</v>
      </c>
      <c r="G11" s="11" t="n">
        <v>27</v>
      </c>
      <c r="H11" s="12" t="n">
        <v>5.25</v>
      </c>
      <c r="I11" s="11" t="s">
        <v>69</v>
      </c>
      <c r="J11" s="13" t="n">
        <f aca="false">H11*1000000000/'Read me'!$B$4</f>
        <v>204598.597038192</v>
      </c>
      <c r="K11" s="14" t="n">
        <f aca="false">H11*1000/G11</f>
        <v>194.444444444444</v>
      </c>
      <c r="L11" s="11" t="str">
        <f aca="false">IF(G11&gt;'Read me'!$B$7,"Yes","No")</f>
        <v>No</v>
      </c>
      <c r="M11" s="11" t="str">
        <f aca="false">IF(J11&lt;='Read me'!$B$5,"Yes","No")</f>
        <v>Yes</v>
      </c>
      <c r="N11" s="11" t="s">
        <v>83</v>
      </c>
    </row>
    <row r="12" customFormat="false" ht="15" hidden="false" customHeight="false" outlineLevel="0" collapsed="false">
      <c r="A12" s="11" t="n">
        <v>11</v>
      </c>
      <c r="B12" s="11" t="s">
        <v>60</v>
      </c>
      <c r="C12" s="11" t="s">
        <v>87</v>
      </c>
      <c r="D12" s="10" t="s">
        <v>62</v>
      </c>
      <c r="E12" s="11" t="s">
        <v>63</v>
      </c>
      <c r="F12" s="11" t="s">
        <v>79</v>
      </c>
      <c r="G12" s="11" t="n">
        <v>44</v>
      </c>
      <c r="H12" s="12" t="n">
        <v>9.9</v>
      </c>
      <c r="I12" s="11" t="s">
        <v>69</v>
      </c>
      <c r="J12" s="13" t="n">
        <f aca="false">H12*1000000000/'Read me'!$B$4</f>
        <v>385814.497272019</v>
      </c>
      <c r="K12" s="14" t="n">
        <f aca="false">H12*1000/G12</f>
        <v>225</v>
      </c>
      <c r="L12" s="11" t="str">
        <f aca="false">IF(G12&gt;'Read me'!$B$7,"Yes","No")</f>
        <v>No</v>
      </c>
      <c r="M12" s="11" t="str">
        <f aca="false">IF(J12&lt;='Read me'!$B$5,"Yes","No")</f>
        <v>No</v>
      </c>
      <c r="N12" s="11" t="s">
        <v>75</v>
      </c>
    </row>
    <row r="13" customFormat="false" ht="15" hidden="false" customHeight="false" outlineLevel="0" collapsed="false">
      <c r="A13" s="11" t="n">
        <v>12</v>
      </c>
      <c r="B13" s="11" t="s">
        <v>60</v>
      </c>
      <c r="C13" s="11" t="s">
        <v>88</v>
      </c>
      <c r="D13" s="10" t="s">
        <v>62</v>
      </c>
      <c r="E13" s="11" t="s">
        <v>63</v>
      </c>
      <c r="F13" s="11" t="s">
        <v>89</v>
      </c>
      <c r="G13" s="11" t="n">
        <v>23</v>
      </c>
      <c r="H13" s="12" t="n">
        <v>5.2</v>
      </c>
      <c r="I13" s="11" t="s">
        <v>69</v>
      </c>
      <c r="J13" s="13" t="n">
        <f aca="false">H13*1000000000/'Read me'!$B$4</f>
        <v>202650.038971161</v>
      </c>
      <c r="K13" s="14" t="n">
        <f aca="false">H13*1000/G13</f>
        <v>226.086956521739</v>
      </c>
      <c r="L13" s="11" t="str">
        <f aca="false">IF(G13&gt;'Read me'!$B$7,"Yes","No")</f>
        <v>No</v>
      </c>
      <c r="M13" s="11" t="str">
        <f aca="false">IF(J13&lt;='Read me'!$B$5,"Yes","No")</f>
        <v>Yes</v>
      </c>
      <c r="N13" s="11" t="s">
        <v>83</v>
      </c>
    </row>
    <row r="14" customFormat="false" ht="15" hidden="false" customHeight="false" outlineLevel="0" collapsed="false">
      <c r="A14" s="11" t="n">
        <v>13</v>
      </c>
      <c r="B14" s="11" t="s">
        <v>60</v>
      </c>
      <c r="C14" s="11" t="s">
        <v>90</v>
      </c>
      <c r="D14" s="10" t="s">
        <v>62</v>
      </c>
      <c r="E14" s="11" t="s">
        <v>63</v>
      </c>
      <c r="F14" s="11" t="s">
        <v>91</v>
      </c>
      <c r="G14" s="11" t="n">
        <v>45</v>
      </c>
      <c r="H14" s="12" t="n">
        <v>6.3</v>
      </c>
      <c r="I14" s="11" t="s">
        <v>69</v>
      </c>
      <c r="J14" s="13" t="n">
        <f aca="false">H14*1000000000/'Read me'!$B$4</f>
        <v>245518.31644583</v>
      </c>
      <c r="K14" s="14" t="n">
        <f aca="false">H14*1000/G14</f>
        <v>140</v>
      </c>
      <c r="L14" s="11" t="str">
        <f aca="false">IF(G14&gt;'Read me'!$B$7,"Yes","No")</f>
        <v>No</v>
      </c>
      <c r="M14" s="11" t="str">
        <f aca="false">IF(J14&lt;='Read me'!$B$5,"Yes","No")</f>
        <v>Yes</v>
      </c>
      <c r="N14" s="11" t="s">
        <v>83</v>
      </c>
    </row>
    <row r="15" customFormat="false" ht="15" hidden="false" customHeight="false" outlineLevel="0" collapsed="false">
      <c r="A15" s="11" t="n">
        <v>14</v>
      </c>
      <c r="B15" s="11" t="s">
        <v>60</v>
      </c>
      <c r="C15" s="11" t="s">
        <v>92</v>
      </c>
      <c r="D15" s="10" t="s">
        <v>62</v>
      </c>
      <c r="E15" s="11" t="s">
        <v>63</v>
      </c>
      <c r="F15" s="11" t="s">
        <v>89</v>
      </c>
      <c r="G15" s="11" t="n">
        <v>47</v>
      </c>
      <c r="H15" s="12" t="n">
        <v>8</v>
      </c>
      <c r="I15" s="11" t="s">
        <v>69</v>
      </c>
      <c r="J15" s="13" t="n">
        <f aca="false">H15*1000000000/'Read me'!$B$4</f>
        <v>311769.290724864</v>
      </c>
      <c r="K15" s="14" t="n">
        <f aca="false">H15*1000/G15</f>
        <v>170.212765957447</v>
      </c>
      <c r="L15" s="11" t="str">
        <f aca="false">IF(G15&gt;'Read me'!$B$7,"Yes","No")</f>
        <v>No</v>
      </c>
      <c r="M15" s="11" t="str">
        <f aca="false">IF(J15&lt;='Read me'!$B$5,"Yes","No")</f>
        <v>No</v>
      </c>
      <c r="N15" s="11" t="s">
        <v>75</v>
      </c>
    </row>
    <row r="16" customFormat="false" ht="15" hidden="false" customHeight="false" outlineLevel="0" collapsed="false">
      <c r="A16" s="11" t="n">
        <v>15</v>
      </c>
      <c r="B16" s="11" t="s">
        <v>60</v>
      </c>
      <c r="C16" s="11" t="s">
        <v>93</v>
      </c>
      <c r="D16" s="10" t="s">
        <v>62</v>
      </c>
      <c r="E16" s="11" t="s">
        <v>63</v>
      </c>
      <c r="F16" s="11" t="s">
        <v>89</v>
      </c>
      <c r="G16" s="11" t="n">
        <v>40</v>
      </c>
      <c r="H16" s="12" t="n">
        <v>5.5</v>
      </c>
      <c r="I16" s="11" t="s">
        <v>69</v>
      </c>
      <c r="J16" s="13" t="n">
        <f aca="false">H16*1000000000/'Read me'!$B$4</f>
        <v>214341.387373344</v>
      </c>
      <c r="K16" s="14" t="n">
        <f aca="false">H16*1000/G16</f>
        <v>137.5</v>
      </c>
      <c r="L16" s="11" t="str">
        <f aca="false">IF(G16&gt;'Read me'!$B$7,"Yes","No")</f>
        <v>No</v>
      </c>
      <c r="M16" s="11" t="str">
        <f aca="false">IF(J16&lt;='Read me'!$B$5,"Yes","No")</f>
        <v>Yes</v>
      </c>
      <c r="N16" s="11" t="s">
        <v>83</v>
      </c>
    </row>
    <row r="17" customFormat="false" ht="15" hidden="false" customHeight="false" outlineLevel="0" collapsed="false">
      <c r="A17" s="11" t="n">
        <v>16</v>
      </c>
      <c r="B17" s="11" t="s">
        <v>60</v>
      </c>
      <c r="C17" s="11" t="s">
        <v>94</v>
      </c>
      <c r="D17" s="10" t="s">
        <v>62</v>
      </c>
      <c r="E17" s="11" t="s">
        <v>63</v>
      </c>
      <c r="F17" s="11" t="s">
        <v>82</v>
      </c>
      <c r="G17" s="11" t="n">
        <v>35</v>
      </c>
      <c r="H17" s="12" t="n">
        <v>4.88</v>
      </c>
      <c r="I17" s="11" t="s">
        <v>69</v>
      </c>
      <c r="J17" s="13" t="n">
        <f aca="false">H17*1000000000/'Read me'!$B$4</f>
        <v>190179.267342167</v>
      </c>
      <c r="K17" s="14" t="n">
        <f aca="false">H17*1000/G17</f>
        <v>139.428571428571</v>
      </c>
      <c r="L17" s="11" t="str">
        <f aca="false">IF(G17&gt;'Read me'!$B$7,"Yes","No")</f>
        <v>No</v>
      </c>
      <c r="M17" s="11" t="str">
        <f aca="false">IF(J17&lt;='Read me'!$B$5,"Yes","No")</f>
        <v>Yes</v>
      </c>
      <c r="N17" s="11" t="s">
        <v>83</v>
      </c>
    </row>
    <row r="18" customFormat="false" ht="15" hidden="false" customHeight="false" outlineLevel="0" collapsed="false">
      <c r="A18" s="11" t="n">
        <v>17</v>
      </c>
      <c r="B18" s="11" t="s">
        <v>95</v>
      </c>
      <c r="C18" s="11" t="s">
        <v>96</v>
      </c>
      <c r="D18" s="10" t="s">
        <v>62</v>
      </c>
      <c r="E18" s="11" t="s">
        <v>63</v>
      </c>
      <c r="F18" s="11" t="s">
        <v>89</v>
      </c>
      <c r="G18" s="11" t="n">
        <v>55</v>
      </c>
      <c r="H18" s="12" t="n">
        <v>8.8</v>
      </c>
      <c r="I18" s="11" t="s">
        <v>69</v>
      </c>
      <c r="J18" s="13" t="n">
        <f aca="false">H18*1000000000/'Read me'!$B$4</f>
        <v>342946.21979735</v>
      </c>
      <c r="K18" s="14" t="n">
        <f aca="false">H18*1000/G18</f>
        <v>160</v>
      </c>
      <c r="L18" s="11" t="str">
        <f aca="false">IF(G18&gt;'Read me'!$B$7,"Yes","No")</f>
        <v>Yes</v>
      </c>
      <c r="M18" s="11" t="str">
        <f aca="false">IF(J18&lt;='Read me'!$B$5,"Yes","No")</f>
        <v>No</v>
      </c>
      <c r="N18" s="11" t="s">
        <v>97</v>
      </c>
    </row>
    <row r="19" customFormat="false" ht="15" hidden="false" customHeight="false" outlineLevel="0" collapsed="false">
      <c r="A19" s="11" t="n">
        <v>18</v>
      </c>
      <c r="B19" s="11" t="s">
        <v>95</v>
      </c>
      <c r="C19" s="11" t="s">
        <v>98</v>
      </c>
      <c r="D19" s="10" t="s">
        <v>62</v>
      </c>
      <c r="E19" s="11" t="s">
        <v>63</v>
      </c>
      <c r="F19" s="11" t="s">
        <v>79</v>
      </c>
      <c r="G19" s="11" t="n">
        <v>44</v>
      </c>
      <c r="H19" s="12" t="n">
        <v>6.79</v>
      </c>
      <c r="I19" s="11" t="s">
        <v>69</v>
      </c>
      <c r="J19" s="13" t="n">
        <f aca="false">H19*1000000000/'Read me'!$B$4</f>
        <v>264614.185502728</v>
      </c>
      <c r="K19" s="14" t="n">
        <f aca="false">H19*1000/G19</f>
        <v>154.318181818182</v>
      </c>
      <c r="L19" s="11" t="str">
        <f aca="false">IF(G19&gt;'Read me'!$B$7,"Yes","No")</f>
        <v>No</v>
      </c>
      <c r="M19" s="11" t="str">
        <f aca="false">IF(J19&lt;='Read me'!$B$5,"Yes","No")</f>
        <v>Yes</v>
      </c>
      <c r="N19" s="11" t="s">
        <v>83</v>
      </c>
    </row>
    <row r="20" customFormat="false" ht="15" hidden="false" customHeight="false" outlineLevel="0" collapsed="false">
      <c r="A20" s="11" t="n">
        <v>19</v>
      </c>
      <c r="B20" s="11" t="s">
        <v>95</v>
      </c>
      <c r="C20" s="11" t="s">
        <v>99</v>
      </c>
      <c r="D20" s="10" t="s">
        <v>62</v>
      </c>
      <c r="E20" s="11" t="s">
        <v>63</v>
      </c>
      <c r="F20" s="11" t="s">
        <v>64</v>
      </c>
      <c r="G20" s="11" t="n">
        <v>29</v>
      </c>
      <c r="H20" s="12" t="n">
        <v>4.6</v>
      </c>
      <c r="I20" s="11" t="s">
        <v>100</v>
      </c>
      <c r="J20" s="13" t="n">
        <f aca="false">H20*1000000000/'Read me'!$B$4</f>
        <v>179267.342166797</v>
      </c>
      <c r="K20" s="14" t="n">
        <f aca="false">H20*1000/G20</f>
        <v>158.620689655172</v>
      </c>
      <c r="L20" s="11" t="str">
        <f aca="false">IF(G20&gt;'Read me'!$B$7,"Yes","No")</f>
        <v>No</v>
      </c>
      <c r="M20" s="11" t="str">
        <f aca="false">IF(J20&lt;='Read me'!$B$5,"Yes","No")</f>
        <v>Yes</v>
      </c>
      <c r="N20" s="11" t="s">
        <v>101</v>
      </c>
    </row>
    <row r="21" customFormat="false" ht="15" hidden="false" customHeight="false" outlineLevel="0" collapsed="false">
      <c r="A21" s="11" t="n">
        <v>20</v>
      </c>
      <c r="B21" s="11" t="s">
        <v>95</v>
      </c>
      <c r="C21" s="11" t="s">
        <v>102</v>
      </c>
      <c r="D21" s="10" t="s">
        <v>62</v>
      </c>
      <c r="E21" s="11" t="s">
        <v>63</v>
      </c>
      <c r="F21" s="11" t="s">
        <v>68</v>
      </c>
      <c r="G21" s="11" t="n">
        <v>55</v>
      </c>
      <c r="H21" s="12" t="n">
        <v>10.5</v>
      </c>
      <c r="I21" s="11" t="s">
        <v>69</v>
      </c>
      <c r="J21" s="13" t="n">
        <f aca="false">H21*1000000000/'Read me'!$B$4</f>
        <v>409197.194076384</v>
      </c>
      <c r="K21" s="14" t="n">
        <f aca="false">H21*1000/G21</f>
        <v>190.909090909091</v>
      </c>
      <c r="L21" s="11" t="str">
        <f aca="false">IF(G21&gt;'Read me'!$B$7,"Yes","No")</f>
        <v>Yes</v>
      </c>
      <c r="M21" s="11" t="str">
        <f aca="false">IF(J21&lt;='Read me'!$B$5,"Yes","No")</f>
        <v>No</v>
      </c>
      <c r="N21" s="11" t="s">
        <v>72</v>
      </c>
    </row>
    <row r="22" customFormat="false" ht="26.85" hidden="false" customHeight="false" outlineLevel="0" collapsed="false">
      <c r="A22" s="11" t="n">
        <v>21</v>
      </c>
      <c r="B22" s="11" t="s">
        <v>60</v>
      </c>
      <c r="C22" s="11" t="s">
        <v>103</v>
      </c>
      <c r="D22" s="10" t="s">
        <v>62</v>
      </c>
      <c r="E22" s="11" t="s">
        <v>104</v>
      </c>
      <c r="F22" s="11" t="s">
        <v>105</v>
      </c>
      <c r="G22" s="11" t="n">
        <v>52</v>
      </c>
      <c r="H22" s="12" t="n">
        <v>6.8</v>
      </c>
      <c r="I22" s="11" t="s">
        <v>69</v>
      </c>
      <c r="J22" s="13" t="n">
        <f aca="false">H22*1000000000/'Read me'!$B$4</f>
        <v>265003.897116134</v>
      </c>
      <c r="K22" s="14" t="n">
        <f aca="false">H22*1000/G22</f>
        <v>130.769230769231</v>
      </c>
      <c r="L22" s="11" t="str">
        <f aca="false">IF(G22&gt;'Read me'!$B$7,"Yes","No")</f>
        <v>Yes</v>
      </c>
      <c r="M22" s="11" t="str">
        <f aca="false">IF(J22&lt;='Read me'!$B$5,"Yes","No")</f>
        <v>Yes</v>
      </c>
      <c r="N22" s="11" t="s">
        <v>106</v>
      </c>
    </row>
    <row r="23" customFormat="false" ht="26.85" hidden="false" customHeight="false" outlineLevel="0" collapsed="false">
      <c r="A23" s="11" t="n">
        <v>22</v>
      </c>
      <c r="B23" s="11" t="s">
        <v>60</v>
      </c>
      <c r="C23" s="11" t="s">
        <v>107</v>
      </c>
      <c r="D23" s="10" t="s">
        <v>62</v>
      </c>
      <c r="E23" s="11" t="s">
        <v>104</v>
      </c>
      <c r="F23" s="11" t="s">
        <v>105</v>
      </c>
      <c r="G23" s="11" t="n">
        <v>100</v>
      </c>
      <c r="H23" s="12" t="n">
        <v>7.2</v>
      </c>
      <c r="I23" s="11" t="s">
        <v>69</v>
      </c>
      <c r="J23" s="13" t="n">
        <f aca="false">H23*1000000000/'Read me'!$B$4</f>
        <v>280592.361652377</v>
      </c>
      <c r="K23" s="14" t="n">
        <f aca="false">H23*1000/G23</f>
        <v>72</v>
      </c>
      <c r="L23" s="11" t="str">
        <f aca="false">IF(G23&gt;'Read me'!$B$7,"Yes","No")</f>
        <v>Yes</v>
      </c>
      <c r="M23" s="11" t="str">
        <f aca="false">IF(J23&lt;='Read me'!$B$5,"Yes","No")</f>
        <v>Yes</v>
      </c>
      <c r="N23" s="11" t="s">
        <v>108</v>
      </c>
    </row>
    <row r="24" customFormat="false" ht="26.85" hidden="false" customHeight="false" outlineLevel="0" collapsed="false">
      <c r="A24" s="11" t="n">
        <v>23</v>
      </c>
      <c r="B24" s="11" t="s">
        <v>60</v>
      </c>
      <c r="C24" s="11" t="s">
        <v>109</v>
      </c>
      <c r="D24" s="10" t="s">
        <v>62</v>
      </c>
      <c r="E24" s="11" t="s">
        <v>104</v>
      </c>
      <c r="F24" s="11" t="s">
        <v>105</v>
      </c>
      <c r="G24" s="11" t="n">
        <v>51</v>
      </c>
      <c r="H24" s="12" t="n">
        <v>6</v>
      </c>
      <c r="I24" s="11" t="s">
        <v>69</v>
      </c>
      <c r="J24" s="13" t="n">
        <f aca="false">H24*1000000000/'Read me'!$B$4</f>
        <v>233826.968043648</v>
      </c>
      <c r="K24" s="14" t="n">
        <f aca="false">H24*1000/G24</f>
        <v>117.647058823529</v>
      </c>
      <c r="L24" s="11" t="str">
        <f aca="false">IF(G24&gt;'Read me'!$B$7,"Yes","No")</f>
        <v>Yes</v>
      </c>
      <c r="M24" s="11" t="str">
        <f aca="false">IF(J24&lt;='Read me'!$B$5,"Yes","No")</f>
        <v>Yes</v>
      </c>
      <c r="N24" s="11" t="s">
        <v>110</v>
      </c>
    </row>
    <row r="25" customFormat="false" ht="26.85" hidden="false" customHeight="false" outlineLevel="0" collapsed="false">
      <c r="A25" s="11" t="n">
        <v>24</v>
      </c>
      <c r="B25" s="11" t="s">
        <v>95</v>
      </c>
      <c r="C25" s="11" t="s">
        <v>111</v>
      </c>
      <c r="D25" s="10" t="s">
        <v>62</v>
      </c>
      <c r="E25" s="11" t="s">
        <v>104</v>
      </c>
      <c r="F25" s="11" t="s">
        <v>105</v>
      </c>
      <c r="G25" s="11" t="n">
        <v>84</v>
      </c>
      <c r="H25" s="12" t="n">
        <v>6.8</v>
      </c>
      <c r="I25" s="11" t="s">
        <v>112</v>
      </c>
      <c r="J25" s="13" t="n">
        <f aca="false">H25*1000000000/'Read me'!$B$4</f>
        <v>265003.897116134</v>
      </c>
      <c r="K25" s="14" t="n">
        <f aca="false">H25*1000/G25</f>
        <v>80.952380952381</v>
      </c>
      <c r="L25" s="11" t="str">
        <f aca="false">IF(G25&gt;'Read me'!$B$7,"Yes","No")</f>
        <v>Yes</v>
      </c>
      <c r="M25" s="11" t="str">
        <f aca="false">IF(J25&lt;='Read me'!$B$5,"Yes","No")</f>
        <v>Yes</v>
      </c>
      <c r="N25" s="11" t="s">
        <v>113</v>
      </c>
    </row>
    <row r="26" customFormat="false" ht="26.85" hidden="false" customHeight="false" outlineLevel="0" collapsed="false">
      <c r="A26" s="11" t="n">
        <v>25</v>
      </c>
      <c r="B26" s="11" t="s">
        <v>95</v>
      </c>
      <c r="C26" s="11" t="s">
        <v>114</v>
      </c>
      <c r="D26" s="10" t="s">
        <v>62</v>
      </c>
      <c r="E26" s="11" t="s">
        <v>104</v>
      </c>
      <c r="F26" s="11" t="s">
        <v>105</v>
      </c>
      <c r="G26" s="11" t="n">
        <v>60</v>
      </c>
      <c r="H26" s="12" t="n">
        <v>7.28</v>
      </c>
      <c r="I26" s="11" t="s">
        <v>65</v>
      </c>
      <c r="J26" s="13" t="n">
        <f aca="false">H26*1000000000/'Read me'!$B$4</f>
        <v>283710.054559626</v>
      </c>
      <c r="K26" s="14" t="n">
        <f aca="false">H26*1000/G26</f>
        <v>121.333333333333</v>
      </c>
      <c r="L26" s="11" t="str">
        <f aca="false">IF(G26&gt;'Read me'!$B$7,"Yes","No")</f>
        <v>Yes</v>
      </c>
      <c r="M26" s="11" t="str">
        <f aca="false">IF(J26&lt;='Read me'!$B$5,"Yes","No")</f>
        <v>Yes</v>
      </c>
      <c r="N26" s="11" t="s">
        <v>115</v>
      </c>
    </row>
    <row r="27" customFormat="false" ht="26.85" hidden="false" customHeight="false" outlineLevel="0" collapsed="false">
      <c r="A27" s="11" t="n">
        <v>26</v>
      </c>
      <c r="B27" s="11" t="s">
        <v>95</v>
      </c>
      <c r="C27" s="11" t="s">
        <v>116</v>
      </c>
      <c r="D27" s="10" t="s">
        <v>62</v>
      </c>
      <c r="E27" s="11" t="s">
        <v>104</v>
      </c>
      <c r="F27" s="11" t="s">
        <v>105</v>
      </c>
      <c r="G27" s="11" t="n">
        <v>56</v>
      </c>
      <c r="H27" s="12" t="n">
        <v>7.28</v>
      </c>
      <c r="I27" s="11" t="s">
        <v>117</v>
      </c>
      <c r="J27" s="13" t="n">
        <f aca="false">H27*1000000000/'Read me'!$B$4</f>
        <v>283710.054559626</v>
      </c>
      <c r="K27" s="14" t="n">
        <f aca="false">H27*1000/G27</f>
        <v>130</v>
      </c>
      <c r="L27" s="11" t="str">
        <f aca="false">IF(G27&gt;'Read me'!$B$7,"Yes","No")</f>
        <v>Yes</v>
      </c>
      <c r="M27" s="11" t="str">
        <f aca="false">IF(J27&lt;='Read me'!$B$5,"Yes","No")</f>
        <v>Yes</v>
      </c>
      <c r="N27" s="11" t="s">
        <v>118</v>
      </c>
    </row>
    <row r="28" customFormat="false" ht="26.85" hidden="false" customHeight="false" outlineLevel="0" collapsed="false">
      <c r="A28" s="11" t="n">
        <v>27</v>
      </c>
      <c r="B28" s="11" t="s">
        <v>60</v>
      </c>
      <c r="C28" s="11" t="s">
        <v>119</v>
      </c>
      <c r="D28" s="10" t="s">
        <v>62</v>
      </c>
      <c r="E28" s="11" t="s">
        <v>104</v>
      </c>
      <c r="F28" s="11" t="s">
        <v>120</v>
      </c>
      <c r="G28" s="11" t="n">
        <v>51.6</v>
      </c>
      <c r="H28" s="12" t="n">
        <v>5.62</v>
      </c>
      <c r="I28" s="11" t="s">
        <v>69</v>
      </c>
      <c r="J28" s="13" t="n">
        <f aca="false">H28*1000000000/'Read me'!$B$4</f>
        <v>219017.926734217</v>
      </c>
      <c r="K28" s="14" t="n">
        <f aca="false">H28*1000/G28</f>
        <v>108.914728682171</v>
      </c>
      <c r="L28" s="11" t="str">
        <f aca="false">IF(G28&gt;'Read me'!$B$7,"Yes","No")</f>
        <v>Yes</v>
      </c>
      <c r="M28" s="11" t="str">
        <f aca="false">IF(J28&lt;='Read me'!$B$5,"Yes","No")</f>
        <v>Yes</v>
      </c>
      <c r="N28" s="11" t="s">
        <v>121</v>
      </c>
    </row>
    <row r="29" customFormat="false" ht="26.85" hidden="false" customHeight="false" outlineLevel="0" collapsed="false">
      <c r="A29" s="11" t="n">
        <v>28</v>
      </c>
      <c r="B29" s="11" t="s">
        <v>60</v>
      </c>
      <c r="C29" s="11" t="s">
        <v>122</v>
      </c>
      <c r="D29" s="10" t="s">
        <v>62</v>
      </c>
      <c r="E29" s="11" t="s">
        <v>104</v>
      </c>
      <c r="F29" s="11" t="s">
        <v>123</v>
      </c>
      <c r="G29" s="11" t="n">
        <v>60</v>
      </c>
      <c r="H29" s="12" t="n">
        <v>6.9</v>
      </c>
      <c r="I29" s="11" t="s">
        <v>69</v>
      </c>
      <c r="J29" s="13" t="n">
        <f aca="false">H29*1000000000/'Read me'!$B$4</f>
        <v>268901.013250195</v>
      </c>
      <c r="K29" s="14" t="n">
        <f aca="false">H29*1000/G29</f>
        <v>115</v>
      </c>
      <c r="L29" s="11" t="str">
        <f aca="false">IF(G29&gt;'Read me'!$B$7,"Yes","No")</f>
        <v>Yes</v>
      </c>
      <c r="M29" s="11" t="str">
        <f aca="false">IF(J29&lt;='Read me'!$B$5,"Yes","No")</f>
        <v>Yes</v>
      </c>
      <c r="N29" s="11" t="s">
        <v>124</v>
      </c>
    </row>
    <row r="30" customFormat="false" ht="26.85" hidden="false" customHeight="false" outlineLevel="0" collapsed="false">
      <c r="A30" s="11" t="n">
        <v>29</v>
      </c>
      <c r="B30" s="11" t="s">
        <v>95</v>
      </c>
      <c r="C30" s="11" t="s">
        <v>125</v>
      </c>
      <c r="D30" s="10" t="s">
        <v>62</v>
      </c>
      <c r="E30" s="11" t="s">
        <v>104</v>
      </c>
      <c r="F30" s="11" t="s">
        <v>126</v>
      </c>
      <c r="G30" s="11" t="n">
        <v>70</v>
      </c>
      <c r="H30" s="12" t="n">
        <v>3.9</v>
      </c>
      <c r="I30" s="11" t="s">
        <v>65</v>
      </c>
      <c r="J30" s="13" t="n">
        <f aca="false">H30*1000000000/'Read me'!$B$4</f>
        <v>151987.529228371</v>
      </c>
      <c r="K30" s="14" t="n">
        <f aca="false">H30*1000/G30</f>
        <v>55.7142857142857</v>
      </c>
      <c r="L30" s="11" t="str">
        <f aca="false">IF(G30&gt;'Read me'!$B$7,"Yes","No")</f>
        <v>Yes</v>
      </c>
      <c r="M30" s="11" t="str">
        <f aca="false">IF(J30&lt;='Read me'!$B$5,"Yes","No")</f>
        <v>Yes</v>
      </c>
      <c r="N30" s="11" t="s">
        <v>127</v>
      </c>
    </row>
    <row r="31" customFormat="false" ht="26.85" hidden="false" customHeight="false" outlineLevel="0" collapsed="false">
      <c r="A31" s="11" t="n">
        <v>30</v>
      </c>
      <c r="B31" s="11" t="s">
        <v>60</v>
      </c>
      <c r="C31" s="11" t="s">
        <v>128</v>
      </c>
      <c r="D31" s="10" t="s">
        <v>62</v>
      </c>
      <c r="E31" s="11" t="s">
        <v>104</v>
      </c>
      <c r="F31" s="11" t="s">
        <v>123</v>
      </c>
      <c r="G31" s="11" t="n">
        <v>136</v>
      </c>
      <c r="H31" s="12" t="n">
        <v>3.3</v>
      </c>
      <c r="I31" s="11" t="s">
        <v>69</v>
      </c>
      <c r="J31" s="13" t="n">
        <f aca="false">H31*1000000000/'Read me'!$B$4</f>
        <v>128604.832424006</v>
      </c>
      <c r="K31" s="14" t="n">
        <f aca="false">H31*1000/G31</f>
        <v>24.2647058823529</v>
      </c>
      <c r="L31" s="11" t="str">
        <f aca="false">IF(G31&gt;'Read me'!$B$7,"Yes","No")</f>
        <v>Yes</v>
      </c>
      <c r="M31" s="11" t="str">
        <f aca="false">IF(J31&lt;='Read me'!$B$5,"Yes","No")</f>
        <v>Yes</v>
      </c>
      <c r="N31" s="11" t="s">
        <v>129</v>
      </c>
    </row>
    <row r="32" customFormat="false" ht="26.85" hidden="false" customHeight="false" outlineLevel="0" collapsed="false">
      <c r="A32" s="11" t="n">
        <v>31</v>
      </c>
      <c r="B32" s="11" t="s">
        <v>60</v>
      </c>
      <c r="C32" s="11" t="s">
        <v>130</v>
      </c>
      <c r="D32" s="10" t="s">
        <v>62</v>
      </c>
      <c r="E32" s="11" t="s">
        <v>104</v>
      </c>
      <c r="F32" s="11" t="s">
        <v>131</v>
      </c>
      <c r="G32" s="11" t="n">
        <v>57</v>
      </c>
      <c r="H32" s="12" t="n">
        <v>5.5</v>
      </c>
      <c r="I32" s="11" t="s">
        <v>132</v>
      </c>
      <c r="J32" s="13" t="n">
        <f aca="false">H32*1000000000/'Read me'!$B$4</f>
        <v>214341.387373344</v>
      </c>
      <c r="K32" s="14" t="n">
        <f aca="false">H32*1000/G32</f>
        <v>96.4912280701754</v>
      </c>
      <c r="L32" s="11" t="str">
        <f aca="false">IF(G32&gt;'Read me'!$B$7,"Yes","No")</f>
        <v>Yes</v>
      </c>
      <c r="M32" s="11" t="str">
        <f aca="false">IF(J32&lt;='Read me'!$B$5,"Yes","No")</f>
        <v>Yes</v>
      </c>
      <c r="N32" s="11" t="s">
        <v>133</v>
      </c>
    </row>
    <row r="33" customFormat="false" ht="26.85" hidden="false" customHeight="false" outlineLevel="0" collapsed="false">
      <c r="A33" s="11" t="n">
        <v>32</v>
      </c>
      <c r="B33" s="11" t="s">
        <v>60</v>
      </c>
      <c r="C33" s="11" t="s">
        <v>134</v>
      </c>
      <c r="D33" s="10" t="s">
        <v>62</v>
      </c>
      <c r="E33" s="11" t="s">
        <v>104</v>
      </c>
      <c r="F33" s="11" t="s">
        <v>135</v>
      </c>
      <c r="G33" s="11" t="n">
        <v>52</v>
      </c>
      <c r="H33" s="12" t="n">
        <v>4.7</v>
      </c>
      <c r="I33" s="11" t="s">
        <v>136</v>
      </c>
      <c r="J33" s="13" t="n">
        <f aca="false">H33*1000000000/'Read me'!$B$4</f>
        <v>183164.458300857</v>
      </c>
      <c r="K33" s="14" t="n">
        <f aca="false">H33*1000/G33</f>
        <v>90.3846153846154</v>
      </c>
      <c r="L33" s="11" t="str">
        <f aca="false">IF(G33&gt;'Read me'!$B$7,"Yes","No")</f>
        <v>Yes</v>
      </c>
      <c r="M33" s="11" t="str">
        <f aca="false">IF(J33&lt;='Read me'!$B$5,"Yes","No")</f>
        <v>Yes</v>
      </c>
      <c r="N33" s="11" t="s">
        <v>137</v>
      </c>
    </row>
    <row r="34" customFormat="false" ht="26.85" hidden="false" customHeight="false" outlineLevel="0" collapsed="false">
      <c r="A34" s="11" t="n">
        <v>33</v>
      </c>
      <c r="B34" s="11" t="s">
        <v>60</v>
      </c>
      <c r="C34" s="11" t="s">
        <v>138</v>
      </c>
      <c r="D34" s="10" t="s">
        <v>62</v>
      </c>
      <c r="E34" s="11" t="s">
        <v>104</v>
      </c>
      <c r="F34" s="11" t="s">
        <v>139</v>
      </c>
      <c r="G34" s="11" t="n">
        <v>52</v>
      </c>
      <c r="H34" s="12" t="n">
        <v>6.8</v>
      </c>
      <c r="I34" s="11" t="s">
        <v>140</v>
      </c>
      <c r="J34" s="13" t="n">
        <f aca="false">H34*1000000000/'Read me'!$B$4</f>
        <v>265003.897116134</v>
      </c>
      <c r="K34" s="14" t="n">
        <f aca="false">H34*1000/G34</f>
        <v>130.769230769231</v>
      </c>
      <c r="L34" s="11" t="str">
        <f aca="false">IF(G34&gt;'Read me'!$B$7,"Yes","No")</f>
        <v>Yes</v>
      </c>
      <c r="M34" s="11" t="str">
        <f aca="false">IF(J34&lt;='Read me'!$B$5,"Yes","No")</f>
        <v>Yes</v>
      </c>
      <c r="N34" s="11" t="s">
        <v>141</v>
      </c>
    </row>
    <row r="35" customFormat="false" ht="26.85" hidden="false" customHeight="false" outlineLevel="0" collapsed="false">
      <c r="A35" s="11" t="n">
        <v>34</v>
      </c>
      <c r="B35" s="11" t="s">
        <v>60</v>
      </c>
      <c r="C35" s="11" t="s">
        <v>142</v>
      </c>
      <c r="D35" s="10" t="s">
        <v>62</v>
      </c>
      <c r="E35" s="11" t="s">
        <v>104</v>
      </c>
      <c r="F35" s="11" t="s">
        <v>143</v>
      </c>
      <c r="G35" s="11" t="n">
        <v>53</v>
      </c>
      <c r="H35" s="12" t="n">
        <v>5.8</v>
      </c>
      <c r="I35" s="11" t="s">
        <v>144</v>
      </c>
      <c r="J35" s="13" t="n">
        <f aca="false">H35*1000000000/'Read me'!$B$4</f>
        <v>226032.735775526</v>
      </c>
      <c r="K35" s="14" t="n">
        <f aca="false">H35*1000/G35</f>
        <v>109.433962264151</v>
      </c>
      <c r="L35" s="11" t="str">
        <f aca="false">IF(G35&gt;'Read me'!$B$7,"Yes","No")</f>
        <v>Yes</v>
      </c>
      <c r="M35" s="11" t="str">
        <f aca="false">IF(J35&lt;='Read me'!$B$5,"Yes","No")</f>
        <v>Yes</v>
      </c>
      <c r="N35" s="11" t="s">
        <v>145</v>
      </c>
    </row>
    <row r="36" customFormat="false" ht="26.85" hidden="false" customHeight="false" outlineLevel="0" collapsed="false">
      <c r="A36" s="11" t="n">
        <v>35</v>
      </c>
      <c r="B36" s="11" t="s">
        <v>95</v>
      </c>
      <c r="C36" s="11" t="s">
        <v>146</v>
      </c>
      <c r="D36" s="10" t="s">
        <v>62</v>
      </c>
      <c r="E36" s="11" t="s">
        <v>104</v>
      </c>
      <c r="F36" s="11" t="s">
        <v>147</v>
      </c>
      <c r="G36" s="11" t="n">
        <v>53</v>
      </c>
      <c r="H36" s="12" t="n">
        <v>4.9</v>
      </c>
      <c r="I36" s="11" t="s">
        <v>148</v>
      </c>
      <c r="J36" s="13" t="n">
        <f aca="false">H36*1000000000/'Read me'!$B$4</f>
        <v>190958.690568979</v>
      </c>
      <c r="K36" s="14" t="n">
        <f aca="false">H36*1000/G36</f>
        <v>92.4528301886792</v>
      </c>
      <c r="L36" s="11" t="str">
        <f aca="false">IF(G36&gt;'Read me'!$B$7,"Yes","No")</f>
        <v>Yes</v>
      </c>
      <c r="M36" s="11" t="str">
        <f aca="false">IF(J36&lt;='Read me'!$B$5,"Yes","No")</f>
        <v>Yes</v>
      </c>
      <c r="N36" s="11" t="s">
        <v>149</v>
      </c>
    </row>
    <row r="37" customFormat="false" ht="26.85" hidden="false" customHeight="false" outlineLevel="0" collapsed="false">
      <c r="A37" s="11" t="n">
        <v>36</v>
      </c>
      <c r="B37" s="11" t="s">
        <v>150</v>
      </c>
      <c r="C37" s="11" t="s">
        <v>151</v>
      </c>
      <c r="D37" s="10" t="s">
        <v>62</v>
      </c>
      <c r="E37" s="11" t="s">
        <v>104</v>
      </c>
      <c r="F37" s="11" t="s">
        <v>152</v>
      </c>
      <c r="G37" s="11" t="n">
        <v>59.1</v>
      </c>
      <c r="H37" s="12" t="n">
        <v>5.05</v>
      </c>
      <c r="I37" s="11" t="s">
        <v>153</v>
      </c>
      <c r="J37" s="13" t="n">
        <f aca="false">H37*1000000000/'Read me'!$B$4</f>
        <v>196804.36477007</v>
      </c>
      <c r="K37" s="14" t="n">
        <f aca="false">H37*1000/G37</f>
        <v>85.4483925549915</v>
      </c>
      <c r="L37" s="11" t="str">
        <f aca="false">IF(G37&gt;'Read me'!$B$7,"Yes","No")</f>
        <v>Yes</v>
      </c>
      <c r="M37" s="11" t="str">
        <f aca="false">IF(J37&lt;='Read me'!$B$5,"Yes","No")</f>
        <v>Yes</v>
      </c>
      <c r="N37" s="11" t="s">
        <v>154</v>
      </c>
    </row>
    <row r="38" customFormat="false" ht="26.85" hidden="false" customHeight="false" outlineLevel="0" collapsed="false">
      <c r="A38" s="11" t="n">
        <v>37</v>
      </c>
      <c r="B38" s="11" t="s">
        <v>150</v>
      </c>
      <c r="C38" s="11" t="s">
        <v>155</v>
      </c>
      <c r="D38" s="10" t="s">
        <v>62</v>
      </c>
      <c r="E38" s="11" t="s">
        <v>104</v>
      </c>
      <c r="F38" s="11" t="s">
        <v>156</v>
      </c>
      <c r="G38" s="11" t="n">
        <v>88</v>
      </c>
      <c r="H38" s="12" t="n">
        <v>5.8</v>
      </c>
      <c r="I38" s="11" t="s">
        <v>157</v>
      </c>
      <c r="J38" s="13" t="n">
        <f aca="false">H38*1000000000/'Read me'!$B$4</f>
        <v>226032.735775526</v>
      </c>
      <c r="K38" s="14" t="n">
        <f aca="false">H38*1000/G38</f>
        <v>65.9090909090909</v>
      </c>
      <c r="L38" s="11" t="str">
        <f aca="false">IF(G38&gt;'Read me'!$B$7,"Yes","No")</f>
        <v>Yes</v>
      </c>
      <c r="M38" s="11" t="str">
        <f aca="false">IF(J38&lt;='Read me'!$B$5,"Yes","No")</f>
        <v>Yes</v>
      </c>
      <c r="N38" s="11" t="s">
        <v>158</v>
      </c>
    </row>
    <row r="39" customFormat="false" ht="26.85" hidden="false" customHeight="false" outlineLevel="0" collapsed="false">
      <c r="A39" s="11" t="n">
        <v>38</v>
      </c>
      <c r="B39" s="11" t="s">
        <v>95</v>
      </c>
      <c r="C39" s="11" t="s">
        <v>159</v>
      </c>
      <c r="D39" s="10" t="s">
        <v>62</v>
      </c>
      <c r="E39" s="11" t="s">
        <v>104</v>
      </c>
      <c r="F39" s="11" t="s">
        <v>160</v>
      </c>
      <c r="G39" s="11" t="n">
        <v>76</v>
      </c>
      <c r="H39" s="12" t="n">
        <v>4.64</v>
      </c>
      <c r="I39" s="11" t="s">
        <v>65</v>
      </c>
      <c r="J39" s="13" t="n">
        <f aca="false">H39*1000000000/'Read me'!$B$4</f>
        <v>180826.188620421</v>
      </c>
      <c r="K39" s="14" t="n">
        <f aca="false">H39*1000/G39</f>
        <v>61.0526315789474</v>
      </c>
      <c r="L39" s="11" t="str">
        <f aca="false">IF(G39&gt;'Read me'!$B$7,"Yes","No")</f>
        <v>Yes</v>
      </c>
      <c r="M39" s="11" t="str">
        <f aca="false">IF(J39&lt;='Read me'!$B$5,"Yes","No")</f>
        <v>Yes</v>
      </c>
      <c r="N39" s="11" t="s">
        <v>161</v>
      </c>
    </row>
    <row r="40" customFormat="false" ht="26.85" hidden="false" customHeight="false" outlineLevel="0" collapsed="false">
      <c r="A40" s="11" t="n">
        <v>39</v>
      </c>
      <c r="B40" s="11" t="s">
        <v>95</v>
      </c>
      <c r="C40" s="11" t="s">
        <v>162</v>
      </c>
      <c r="D40" s="10" t="s">
        <v>62</v>
      </c>
      <c r="E40" s="11" t="s">
        <v>104</v>
      </c>
      <c r="F40" s="11" t="s">
        <v>163</v>
      </c>
      <c r="G40" s="11" t="n">
        <v>62</v>
      </c>
      <c r="H40" s="12" t="n">
        <v>4.99</v>
      </c>
      <c r="I40" s="11" t="s">
        <v>117</v>
      </c>
      <c r="J40" s="13" t="n">
        <f aca="false">H40*1000000000/'Read me'!$B$4</f>
        <v>194466.095089634</v>
      </c>
      <c r="K40" s="14" t="n">
        <f aca="false">H40*1000/G40</f>
        <v>80.4838709677419</v>
      </c>
      <c r="L40" s="11" t="str">
        <f aca="false">IF(G40&gt;'Read me'!$B$7,"Yes","No")</f>
        <v>Yes</v>
      </c>
      <c r="M40" s="11" t="str">
        <f aca="false">IF(J40&lt;='Read me'!$B$5,"Yes","No")</f>
        <v>Yes</v>
      </c>
      <c r="N40" s="11" t="s">
        <v>164</v>
      </c>
    </row>
    <row r="41" customFormat="false" ht="26.85" hidden="false" customHeight="false" outlineLevel="0" collapsed="false">
      <c r="A41" s="11" t="n">
        <v>40</v>
      </c>
      <c r="B41" s="11" t="s">
        <v>60</v>
      </c>
      <c r="C41" s="11" t="s">
        <v>165</v>
      </c>
      <c r="D41" s="10" t="s">
        <v>62</v>
      </c>
      <c r="E41" s="11" t="s">
        <v>104</v>
      </c>
      <c r="F41" s="11" t="s">
        <v>105</v>
      </c>
      <c r="G41" s="11" t="n">
        <v>62.1</v>
      </c>
      <c r="H41" s="12" t="n">
        <v>9.3</v>
      </c>
      <c r="I41" s="11" t="s">
        <v>65</v>
      </c>
      <c r="J41" s="13" t="n">
        <f aca="false">H41*1000000000/'Read me'!$B$4</f>
        <v>362431.800467654</v>
      </c>
      <c r="K41" s="14" t="n">
        <f aca="false">H41*1000/G41</f>
        <v>149.75845410628</v>
      </c>
      <c r="L41" s="11" t="str">
        <f aca="false">IF(G41&gt;'Read me'!$B$7,"Yes","No")</f>
        <v>Yes</v>
      </c>
      <c r="M41" s="11" t="str">
        <f aca="false">IF(J41&lt;='Read me'!$B$5,"Yes","No")</f>
        <v>No</v>
      </c>
      <c r="N41" s="11" t="s">
        <v>72</v>
      </c>
    </row>
    <row r="42" customFormat="false" ht="26.85" hidden="false" customHeight="false" outlineLevel="0" collapsed="false">
      <c r="A42" s="11" t="n">
        <v>41</v>
      </c>
      <c r="B42" s="11" t="s">
        <v>60</v>
      </c>
      <c r="C42" s="11" t="s">
        <v>166</v>
      </c>
      <c r="D42" s="10" t="s">
        <v>62</v>
      </c>
      <c r="E42" s="11" t="s">
        <v>104</v>
      </c>
      <c r="F42" s="11" t="s">
        <v>105</v>
      </c>
      <c r="G42" s="11" t="n">
        <v>50</v>
      </c>
      <c r="H42" s="12" t="n">
        <v>5</v>
      </c>
      <c r="I42" s="11" t="s">
        <v>65</v>
      </c>
      <c r="J42" s="13" t="n">
        <f aca="false">H42*1000000000/'Read me'!$B$4</f>
        <v>194855.80670304</v>
      </c>
      <c r="K42" s="14" t="n">
        <f aca="false">H42*1000/G42</f>
        <v>100</v>
      </c>
      <c r="L42" s="11" t="str">
        <f aca="false">IF(G42&gt;'Read me'!$B$7,"Yes","No")</f>
        <v>No</v>
      </c>
      <c r="M42" s="11" t="str">
        <f aca="false">IF(J42&lt;='Read me'!$B$5,"Yes","No")</f>
        <v>Yes</v>
      </c>
      <c r="N42" s="11" t="s">
        <v>167</v>
      </c>
    </row>
    <row r="43" customFormat="false" ht="26.85" hidden="false" customHeight="false" outlineLevel="0" collapsed="false">
      <c r="A43" s="11" t="n">
        <v>42</v>
      </c>
      <c r="B43" s="11" t="s">
        <v>60</v>
      </c>
      <c r="C43" s="11" t="s">
        <v>168</v>
      </c>
      <c r="D43" s="10" t="s">
        <v>62</v>
      </c>
      <c r="E43" s="11" t="s">
        <v>104</v>
      </c>
      <c r="F43" s="11" t="s">
        <v>131</v>
      </c>
      <c r="G43" s="11" t="n">
        <v>63</v>
      </c>
      <c r="H43" s="12" t="n">
        <v>7.8</v>
      </c>
      <c r="I43" s="11" t="s">
        <v>65</v>
      </c>
      <c r="J43" s="13" t="n">
        <f aca="false">H43*1000000000/'Read me'!$B$4</f>
        <v>303975.058456742</v>
      </c>
      <c r="K43" s="14" t="n">
        <f aca="false">H43*1000/G43</f>
        <v>123.809523809524</v>
      </c>
      <c r="L43" s="11" t="str">
        <f aca="false">IF(G43&gt;'Read me'!$B$7,"Yes","No")</f>
        <v>Yes</v>
      </c>
      <c r="M43" s="11" t="str">
        <f aca="false">IF(J43&lt;='Read me'!$B$5,"Yes","No")</f>
        <v>No</v>
      </c>
      <c r="N43" s="11" t="s">
        <v>169</v>
      </c>
    </row>
    <row r="44" customFormat="false" ht="26.85" hidden="false" customHeight="false" outlineLevel="0" collapsed="false">
      <c r="A44" s="11" t="n">
        <v>43</v>
      </c>
      <c r="B44" s="11" t="s">
        <v>60</v>
      </c>
      <c r="C44" s="11" t="s">
        <v>170</v>
      </c>
      <c r="D44" s="10" t="s">
        <v>62</v>
      </c>
      <c r="E44" s="11" t="s">
        <v>104</v>
      </c>
      <c r="F44" s="11" t="s">
        <v>120</v>
      </c>
      <c r="G44" s="11" t="n">
        <v>173.9</v>
      </c>
      <c r="H44" s="12" t="n">
        <v>6.9</v>
      </c>
      <c r="I44" s="11" t="s">
        <v>65</v>
      </c>
      <c r="J44" s="13" t="n">
        <f aca="false">H44*1000000000/'Read me'!$B$4</f>
        <v>268901.013250195</v>
      </c>
      <c r="K44" s="14" t="n">
        <f aca="false">H44*1000/G44</f>
        <v>39.6779758481886</v>
      </c>
      <c r="L44" s="11" t="str">
        <f aca="false">IF(G44&gt;'Read me'!$B$7,"Yes","No")</f>
        <v>Yes</v>
      </c>
      <c r="M44" s="11" t="str">
        <f aca="false">IF(J44&lt;='Read me'!$B$5,"Yes","No")</f>
        <v>Yes</v>
      </c>
      <c r="N44" s="11" t="s">
        <v>171</v>
      </c>
    </row>
    <row r="45" customFormat="false" ht="26.85" hidden="false" customHeight="false" outlineLevel="0" collapsed="false">
      <c r="A45" s="11" t="n">
        <v>44</v>
      </c>
      <c r="B45" s="11" t="s">
        <v>60</v>
      </c>
      <c r="C45" s="11" t="s">
        <v>172</v>
      </c>
      <c r="D45" s="10" t="s">
        <v>62</v>
      </c>
      <c r="E45" s="11" t="s">
        <v>104</v>
      </c>
      <c r="F45" s="11" t="s">
        <v>173</v>
      </c>
      <c r="G45" s="11" t="n">
        <v>101</v>
      </c>
      <c r="H45" s="12" t="n">
        <v>8.5</v>
      </c>
      <c r="I45" s="11" t="s">
        <v>69</v>
      </c>
      <c r="J45" s="13" t="n">
        <f aca="false">H45*1000000000/'Read me'!$B$4</f>
        <v>331254.871395168</v>
      </c>
      <c r="K45" s="14" t="n">
        <f aca="false">H45*1000/G45</f>
        <v>84.1584158415842</v>
      </c>
      <c r="L45" s="11" t="str">
        <f aca="false">IF(G45&gt;'Read me'!$B$7,"Yes","No")</f>
        <v>Yes</v>
      </c>
      <c r="M45" s="11" t="str">
        <f aca="false">IF(J45&lt;='Read me'!$B$5,"Yes","No")</f>
        <v>No</v>
      </c>
      <c r="N45" s="11" t="s">
        <v>72</v>
      </c>
    </row>
    <row r="46" customFormat="false" ht="26.85" hidden="false" customHeight="false" outlineLevel="0" collapsed="false">
      <c r="A46" s="11" t="n">
        <v>45</v>
      </c>
      <c r="B46" s="11" t="s">
        <v>60</v>
      </c>
      <c r="C46" s="11" t="s">
        <v>174</v>
      </c>
      <c r="D46" s="10" t="s">
        <v>62</v>
      </c>
      <c r="E46" s="11" t="s">
        <v>104</v>
      </c>
      <c r="F46" s="11" t="s">
        <v>120</v>
      </c>
      <c r="G46" s="11" t="n">
        <v>65</v>
      </c>
      <c r="H46" s="12" t="n">
        <v>1.65</v>
      </c>
      <c r="I46" s="11" t="s">
        <v>175</v>
      </c>
      <c r="J46" s="13" t="n">
        <f aca="false">H46*1000000000/'Read me'!$B$4</f>
        <v>64302.4162120031</v>
      </c>
      <c r="K46" s="14" t="n">
        <f aca="false">H46*1000/G46</f>
        <v>25.3846153846154</v>
      </c>
      <c r="L46" s="11" t="str">
        <f aca="false">IF(G46&gt;'Read me'!$B$7,"Yes","No")</f>
        <v>Yes</v>
      </c>
      <c r="M46" s="11" t="str">
        <f aca="false">IF(J46&lt;='Read me'!$B$5,"Yes","No")</f>
        <v>Yes</v>
      </c>
      <c r="N46" s="11" t="s">
        <v>176</v>
      </c>
    </row>
    <row r="47" customFormat="false" ht="26.85" hidden="false" customHeight="false" outlineLevel="0" collapsed="false">
      <c r="A47" s="11" t="n">
        <v>46</v>
      </c>
      <c r="B47" s="11" t="s">
        <v>60</v>
      </c>
      <c r="C47" s="11" t="s">
        <v>177</v>
      </c>
      <c r="D47" s="10" t="s">
        <v>62</v>
      </c>
      <c r="E47" s="11" t="s">
        <v>104</v>
      </c>
      <c r="F47" s="11" t="s">
        <v>120</v>
      </c>
      <c r="G47" s="11" t="n">
        <v>47</v>
      </c>
      <c r="H47" s="12" t="n">
        <v>3.9</v>
      </c>
      <c r="I47" s="11" t="s">
        <v>69</v>
      </c>
      <c r="J47" s="13" t="n">
        <f aca="false">H47*1000000000/'Read me'!$B$4</f>
        <v>151987.529228371</v>
      </c>
      <c r="K47" s="14" t="n">
        <f aca="false">H47*1000/G47</f>
        <v>82.9787234042553</v>
      </c>
      <c r="L47" s="11" t="str">
        <f aca="false">IF(G47&gt;'Read me'!$B$7,"Yes","No")</f>
        <v>No</v>
      </c>
      <c r="M47" s="11" t="str">
        <f aca="false">IF(J47&lt;='Read me'!$B$5,"Yes","No")</f>
        <v>Yes</v>
      </c>
      <c r="N47" s="11" t="s">
        <v>83</v>
      </c>
    </row>
    <row r="48" customFormat="false" ht="26.85" hidden="false" customHeight="false" outlineLevel="0" collapsed="false">
      <c r="A48" s="11" t="n">
        <v>47</v>
      </c>
      <c r="B48" s="11" t="s">
        <v>60</v>
      </c>
      <c r="C48" s="11" t="s">
        <v>178</v>
      </c>
      <c r="D48" s="10" t="s">
        <v>62</v>
      </c>
      <c r="E48" s="11" t="s">
        <v>104</v>
      </c>
      <c r="F48" s="11" t="s">
        <v>173</v>
      </c>
      <c r="G48" s="11" t="n">
        <v>30</v>
      </c>
      <c r="H48" s="12" t="n">
        <v>4.64</v>
      </c>
      <c r="I48" s="11" t="s">
        <v>65</v>
      </c>
      <c r="J48" s="13" t="n">
        <f aca="false">H48*1000000000/'Read me'!$B$4</f>
        <v>180826.188620421</v>
      </c>
      <c r="K48" s="14" t="n">
        <f aca="false">H48*1000/G48</f>
        <v>154.666666666667</v>
      </c>
      <c r="L48" s="11" t="str">
        <f aca="false">IF(G48&gt;'Read me'!$B$7,"Yes","No")</f>
        <v>No</v>
      </c>
      <c r="M48" s="11" t="str">
        <f aca="false">IF(J48&lt;='Read me'!$B$5,"Yes","No")</f>
        <v>Yes</v>
      </c>
      <c r="N48" s="11" t="s">
        <v>83</v>
      </c>
    </row>
    <row r="49" customFormat="false" ht="26.85" hidden="false" customHeight="false" outlineLevel="0" collapsed="false">
      <c r="A49" s="11" t="n">
        <v>48</v>
      </c>
      <c r="B49" s="11" t="s">
        <v>95</v>
      </c>
      <c r="C49" s="11" t="s">
        <v>179</v>
      </c>
      <c r="D49" s="10" t="s">
        <v>62</v>
      </c>
      <c r="E49" s="11" t="s">
        <v>104</v>
      </c>
      <c r="F49" s="11" t="s">
        <v>173</v>
      </c>
      <c r="G49" s="11" t="n">
        <v>98</v>
      </c>
      <c r="H49" s="12" t="n">
        <v>8.78</v>
      </c>
      <c r="I49" s="11" t="s">
        <v>65</v>
      </c>
      <c r="J49" s="13" t="n">
        <f aca="false">H49*1000000000/'Read me'!$B$4</f>
        <v>342166.796570538</v>
      </c>
      <c r="K49" s="14" t="n">
        <f aca="false">H49*1000/G49</f>
        <v>89.5918367346939</v>
      </c>
      <c r="L49" s="11" t="str">
        <f aca="false">IF(G49&gt;'Read me'!$B$7,"Yes","No")</f>
        <v>Yes</v>
      </c>
      <c r="M49" s="11" t="str">
        <f aca="false">IF(J49&lt;='Read me'!$B$5,"Yes","No")</f>
        <v>No</v>
      </c>
      <c r="N49" s="11" t="s">
        <v>72</v>
      </c>
    </row>
    <row r="50" customFormat="false" ht="26.85" hidden="false" customHeight="false" outlineLevel="0" collapsed="false">
      <c r="A50" s="11" t="n">
        <v>49</v>
      </c>
      <c r="B50" s="11" t="s">
        <v>95</v>
      </c>
      <c r="C50" s="11" t="s">
        <v>180</v>
      </c>
      <c r="D50" s="10" t="s">
        <v>62</v>
      </c>
      <c r="E50" s="11" t="s">
        <v>104</v>
      </c>
      <c r="F50" s="11" t="s">
        <v>156</v>
      </c>
      <c r="G50" s="11" t="n">
        <v>64</v>
      </c>
      <c r="H50" s="12" t="n">
        <v>10.5</v>
      </c>
      <c r="I50" s="11" t="s">
        <v>117</v>
      </c>
      <c r="J50" s="13" t="n">
        <f aca="false">H50*1000000000/'Read me'!$B$4</f>
        <v>409197.194076384</v>
      </c>
      <c r="K50" s="14" t="n">
        <f aca="false">H50*1000/G50</f>
        <v>164.0625</v>
      </c>
      <c r="L50" s="11" t="str">
        <f aca="false">IF(G50&gt;'Read me'!$B$7,"Yes","No")</f>
        <v>Yes</v>
      </c>
      <c r="M50" s="11" t="str">
        <f aca="false">IF(J50&lt;='Read me'!$B$5,"Yes","No")</f>
        <v>No</v>
      </c>
      <c r="N50" s="11" t="s">
        <v>72</v>
      </c>
    </row>
    <row r="51" customFormat="false" ht="26.85" hidden="false" customHeight="false" outlineLevel="0" collapsed="false">
      <c r="A51" s="11" t="n">
        <v>50</v>
      </c>
      <c r="B51" s="11" t="s">
        <v>95</v>
      </c>
      <c r="C51" s="11" t="s">
        <v>181</v>
      </c>
      <c r="D51" s="10" t="s">
        <v>62</v>
      </c>
      <c r="E51" s="11" t="s">
        <v>104</v>
      </c>
      <c r="F51" s="11" t="s">
        <v>143</v>
      </c>
      <c r="G51" s="11" t="n">
        <v>176</v>
      </c>
      <c r="H51" s="12" t="n">
        <v>8</v>
      </c>
      <c r="I51" s="11" t="s">
        <v>117</v>
      </c>
      <c r="J51" s="13" t="n">
        <f aca="false">H51*1000000000/'Read me'!$B$4</f>
        <v>311769.290724864</v>
      </c>
      <c r="K51" s="14" t="n">
        <f aca="false">H51*1000/G51</f>
        <v>45.4545454545455</v>
      </c>
      <c r="L51" s="11" t="str">
        <f aca="false">IF(G51&gt;'Read me'!$B$7,"Yes","No")</f>
        <v>Yes</v>
      </c>
      <c r="M51" s="11" t="str">
        <f aca="false">IF(J51&lt;='Read me'!$B$5,"Yes","No")</f>
        <v>No</v>
      </c>
      <c r="N51" s="11" t="s">
        <v>72</v>
      </c>
    </row>
  </sheetData>
  <autoFilter ref="A1:N51"/>
  <hyperlinks>
    <hyperlink ref="D2" r:id="rId1" display="Open ad"/>
    <hyperlink ref="D3" r:id="rId2" display="Open ad"/>
    <hyperlink ref="D4" r:id="rId3" display="Open ad"/>
    <hyperlink ref="D5" r:id="rId4" display="Open ad"/>
    <hyperlink ref="D6" r:id="rId5" display="Open ad"/>
    <hyperlink ref="D7" r:id="rId6" display="Open ad"/>
    <hyperlink ref="D8" r:id="rId7" display="Open ad"/>
    <hyperlink ref="D9" r:id="rId8" display="Open ad"/>
    <hyperlink ref="D10" r:id="rId9" display="Open ad"/>
    <hyperlink ref="D11" r:id="rId10" display="Open ad"/>
    <hyperlink ref="D12" r:id="rId11" display="Open ad"/>
    <hyperlink ref="D13" r:id="rId12" display="Open ad"/>
    <hyperlink ref="D14" r:id="rId13" display="Open ad"/>
    <hyperlink ref="D15" r:id="rId14" display="Open ad"/>
    <hyperlink ref="D16" r:id="rId15" display="Open ad"/>
    <hyperlink ref="D17" r:id="rId16" display="Open ad"/>
    <hyperlink ref="D18" r:id="rId17" display="Open ad"/>
    <hyperlink ref="D19" r:id="rId18" display="Open ad"/>
    <hyperlink ref="D20" r:id="rId19" display="Open ad"/>
    <hyperlink ref="D21" r:id="rId20" display="Open ad"/>
    <hyperlink ref="D22" r:id="rId21" display="Open ad"/>
    <hyperlink ref="D23" r:id="rId22" display="Open ad"/>
    <hyperlink ref="D24" r:id="rId23" display="Open ad"/>
    <hyperlink ref="D25" r:id="rId24" display="Open ad"/>
    <hyperlink ref="D26" r:id="rId25" display="Open ad"/>
    <hyperlink ref="D27" r:id="rId26" display="Open ad"/>
    <hyperlink ref="D28" r:id="rId27" display="Open ad"/>
    <hyperlink ref="D29" r:id="rId28" display="Open ad"/>
    <hyperlink ref="D30" r:id="rId29" display="Open ad"/>
    <hyperlink ref="D31" r:id="rId30" display="Open ad"/>
    <hyperlink ref="D32" r:id="rId31" display="Open ad"/>
    <hyperlink ref="D33" r:id="rId32" display="Open ad"/>
    <hyperlink ref="D34" r:id="rId33" display="Open ad"/>
    <hyperlink ref="D35" r:id="rId34" display="Open ad"/>
    <hyperlink ref="D36" r:id="rId35" display="Open ad"/>
    <hyperlink ref="D37" r:id="rId36" display="Open ad"/>
    <hyperlink ref="D38" r:id="rId37" display="Open ad"/>
    <hyperlink ref="D39" r:id="rId38" display="Open ad"/>
    <hyperlink ref="D40" r:id="rId39" display="Open ad"/>
    <hyperlink ref="D41" r:id="rId40" display="Open ad"/>
    <hyperlink ref="D42" r:id="rId41" display="Open ad"/>
    <hyperlink ref="D43" r:id="rId42" display="Open ad"/>
    <hyperlink ref="D44" r:id="rId43" display="Open ad"/>
    <hyperlink ref="D45" r:id="rId44" display="Open ad"/>
    <hyperlink ref="D46" r:id="rId45" display="Open ad"/>
    <hyperlink ref="D47" r:id="rId46" display="Open ad"/>
    <hyperlink ref="D48" r:id="rId47" display="Open ad"/>
    <hyperlink ref="D49" r:id="rId48" display="Open ad"/>
    <hyperlink ref="D50" r:id="rId49" display="Open ad"/>
    <hyperlink ref="D51" r:id="rId50" display="Open a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6" min="14" style="0" width="26"/>
    <col collapsed="false" customWidth="true" hidden="false" outlineLevel="0" max="17" min="17" style="0" width="28"/>
    <col collapsed="false" customWidth="true" hidden="false" outlineLevel="0" max="18" min="18" style="0" width="34"/>
    <col collapsed="false" customWidth="true" hidden="false" outlineLevel="0" max="19" min="19" style="0" width="36"/>
    <col collapsed="false" customWidth="true" hidden="false" outlineLevel="0" max="20" min="20" style="0" width="7"/>
    <col collapsed="false" customWidth="true" hidden="false" outlineLevel="0" max="21" min="21" style="0" width="8"/>
    <col collapsed="false" customWidth="true" hidden="false" outlineLevel="0" max="22" min="22" style="0" width="7"/>
    <col collapsed="false" customWidth="true" hidden="false" outlineLevel="0" max="23" min="23" style="0" width="9"/>
    <col collapsed="false" customWidth="true" hidden="false" outlineLevel="0" max="25" min="24" style="0" width="7"/>
    <col collapsed="false" customWidth="true" hidden="false" outlineLevel="0" max="26" min="26" style="0" width="16"/>
  </cols>
  <sheetData>
    <row r="1" customFormat="false" ht="52.2" hidden="false" customHeight="false" outlineLevel="0" collapsed="false">
      <c r="A1" s="8" t="s">
        <v>182</v>
      </c>
      <c r="B1" s="8" t="s">
        <v>50</v>
      </c>
      <c r="C1" s="8" t="s">
        <v>183</v>
      </c>
      <c r="D1" s="8" t="s">
        <v>184</v>
      </c>
      <c r="E1" s="8" t="s">
        <v>52</v>
      </c>
      <c r="F1" s="8" t="s">
        <v>185</v>
      </c>
      <c r="G1" s="8" t="s">
        <v>186</v>
      </c>
      <c r="H1" s="8" t="s">
        <v>187</v>
      </c>
      <c r="I1" s="8" t="s">
        <v>188</v>
      </c>
      <c r="J1" s="8" t="s">
        <v>54</v>
      </c>
      <c r="K1" s="8" t="s">
        <v>189</v>
      </c>
      <c r="L1" s="8" t="s">
        <v>55</v>
      </c>
      <c r="M1" s="8" t="s">
        <v>190</v>
      </c>
      <c r="N1" s="8" t="s">
        <v>191</v>
      </c>
      <c r="O1" s="8" t="s">
        <v>192</v>
      </c>
      <c r="P1" s="8" t="s">
        <v>193</v>
      </c>
      <c r="Q1" s="8" t="s">
        <v>194</v>
      </c>
      <c r="R1" s="8" t="s">
        <v>195</v>
      </c>
      <c r="S1" s="8" t="s">
        <v>196</v>
      </c>
      <c r="T1" s="8" t="s">
        <v>197</v>
      </c>
      <c r="U1" s="8" t="s">
        <v>198</v>
      </c>
      <c r="V1" s="8" t="s">
        <v>199</v>
      </c>
      <c r="W1" s="8" t="s">
        <v>200</v>
      </c>
      <c r="X1" s="8" t="s">
        <v>201</v>
      </c>
      <c r="Y1" s="8" t="s">
        <v>202</v>
      </c>
      <c r="Z1" s="8" t="s">
        <v>203</v>
      </c>
    </row>
    <row r="2" customFormat="false" ht="39.55" hidden="false" customHeight="false" outlineLevel="0" collapsed="false">
      <c r="A2" s="11" t="s">
        <v>204</v>
      </c>
      <c r="B2" s="11" t="s">
        <v>63</v>
      </c>
      <c r="C2" s="11" t="s">
        <v>205</v>
      </c>
      <c r="D2" s="10" t="s">
        <v>62</v>
      </c>
      <c r="E2" s="11" t="n">
        <v>63.7</v>
      </c>
      <c r="F2" s="11" t="s">
        <v>206</v>
      </c>
      <c r="G2" s="11" t="s">
        <v>207</v>
      </c>
      <c r="H2" s="11" t="s">
        <v>208</v>
      </c>
      <c r="I2" s="11" t="s">
        <v>209</v>
      </c>
      <c r="J2" s="11" t="s">
        <v>65</v>
      </c>
      <c r="K2" s="15" t="n">
        <v>6.15</v>
      </c>
      <c r="L2" s="13" t="n">
        <f aca="false">K2*1000000000/'Read me'!$B$4</f>
        <v>239672.642244739</v>
      </c>
      <c r="M2" s="14" t="n">
        <f aca="false">K2*1000/E2</f>
        <v>96.5463108320251</v>
      </c>
      <c r="N2" s="11" t="s">
        <v>210</v>
      </c>
      <c r="O2" s="11" t="s">
        <v>211</v>
      </c>
      <c r="P2" s="11" t="s">
        <v>212</v>
      </c>
      <c r="Q2" s="11" t="s">
        <v>213</v>
      </c>
      <c r="R2" s="11" t="s">
        <v>214</v>
      </c>
      <c r="S2" s="11" t="s">
        <v>215</v>
      </c>
      <c r="T2" s="15" t="n">
        <v>4</v>
      </c>
      <c r="U2" s="15" t="n">
        <v>5</v>
      </c>
      <c r="V2" s="15" t="n">
        <v>5</v>
      </c>
      <c r="W2" s="15" t="n">
        <v>2</v>
      </c>
      <c r="X2" s="9" t="n">
        <f aca="false">T2+U2+V2+2*W2</f>
        <v>18</v>
      </c>
      <c r="Y2" s="11" t="n">
        <f aca="false">RANK(X2,$X$2:$X$22)</f>
        <v>2</v>
      </c>
      <c r="Z2" s="11"/>
    </row>
    <row r="3" customFormat="false" ht="52.2" hidden="false" customHeight="false" outlineLevel="0" collapsed="false">
      <c r="A3" s="16" t="s">
        <v>216</v>
      </c>
      <c r="B3" s="16" t="s">
        <v>63</v>
      </c>
      <c r="C3" s="16" t="s">
        <v>217</v>
      </c>
      <c r="D3" s="17" t="s">
        <v>62</v>
      </c>
      <c r="E3" s="16" t="n">
        <v>53.2</v>
      </c>
      <c r="F3" s="16" t="s">
        <v>218</v>
      </c>
      <c r="G3" s="16" t="s">
        <v>219</v>
      </c>
      <c r="H3" s="16" t="s">
        <v>220</v>
      </c>
      <c r="I3" s="16" t="s">
        <v>221</v>
      </c>
      <c r="J3" s="16" t="s">
        <v>221</v>
      </c>
      <c r="K3" s="18" t="n">
        <v>5</v>
      </c>
      <c r="L3" s="19" t="n">
        <f aca="false">K3*1000000000/'Read me'!$B$4</f>
        <v>194855.80670304</v>
      </c>
      <c r="M3" s="20" t="n">
        <f aca="false">K3*1000/E3</f>
        <v>93.984962406015</v>
      </c>
      <c r="N3" s="16" t="s">
        <v>222</v>
      </c>
      <c r="O3" s="16" t="s">
        <v>223</v>
      </c>
      <c r="P3" s="16" t="s">
        <v>224</v>
      </c>
      <c r="Q3" s="16" t="s">
        <v>225</v>
      </c>
      <c r="R3" s="16" t="s">
        <v>226</v>
      </c>
      <c r="S3" s="16" t="s">
        <v>227</v>
      </c>
      <c r="T3" s="18" t="n">
        <v>4</v>
      </c>
      <c r="U3" s="18" t="n">
        <v>4</v>
      </c>
      <c r="V3" s="18" t="n">
        <v>5</v>
      </c>
      <c r="W3" s="18" t="n">
        <v>1</v>
      </c>
      <c r="X3" s="21" t="n">
        <f aca="false">T3+U3+V3+2*W3</f>
        <v>15</v>
      </c>
      <c r="Y3" s="16" t="n">
        <f aca="false">RANK(X3,$X$2:$X$22)</f>
        <v>7</v>
      </c>
      <c r="Z3" s="16" t="s">
        <v>228</v>
      </c>
    </row>
    <row r="4" customFormat="false" ht="39.55" hidden="false" customHeight="false" outlineLevel="0" collapsed="false">
      <c r="A4" s="11" t="s">
        <v>229</v>
      </c>
      <c r="B4" s="11" t="s">
        <v>104</v>
      </c>
      <c r="C4" s="11" t="s">
        <v>230</v>
      </c>
      <c r="D4" s="10" t="s">
        <v>62</v>
      </c>
      <c r="E4" s="11" t="n">
        <v>52</v>
      </c>
      <c r="F4" s="11" t="s">
        <v>231</v>
      </c>
      <c r="G4" s="11" t="s">
        <v>232</v>
      </c>
      <c r="H4" s="11" t="s">
        <v>233</v>
      </c>
      <c r="I4" s="11" t="s">
        <v>209</v>
      </c>
      <c r="J4" s="11" t="s">
        <v>69</v>
      </c>
      <c r="K4" s="15" t="n">
        <v>6.8</v>
      </c>
      <c r="L4" s="13" t="n">
        <f aca="false">K4*1000000000/'Read me'!$B$4</f>
        <v>265003.897116134</v>
      </c>
      <c r="M4" s="14" t="n">
        <f aca="false">K4*1000/E4</f>
        <v>130.769230769231</v>
      </c>
      <c r="N4" s="11" t="s">
        <v>234</v>
      </c>
      <c r="O4" s="11" t="s">
        <v>235</v>
      </c>
      <c r="P4" s="11" t="s">
        <v>236</v>
      </c>
      <c r="Q4" s="11" t="s">
        <v>237</v>
      </c>
      <c r="R4" s="11" t="s">
        <v>238</v>
      </c>
      <c r="S4" s="11" t="s">
        <v>239</v>
      </c>
      <c r="T4" s="15" t="n">
        <v>3</v>
      </c>
      <c r="U4" s="15" t="n">
        <v>3</v>
      </c>
      <c r="V4" s="15" t="n">
        <v>2</v>
      </c>
      <c r="W4" s="15" t="n">
        <v>2</v>
      </c>
      <c r="X4" s="9" t="n">
        <f aca="false">T4+U4+V4+2*W4</f>
        <v>12</v>
      </c>
      <c r="Y4" s="11" t="n">
        <f aca="false">RANK(X4,$X$2:$X$22)</f>
        <v>16</v>
      </c>
      <c r="Z4" s="11"/>
    </row>
    <row r="5" customFormat="false" ht="39.55" hidden="false" customHeight="false" outlineLevel="0" collapsed="false">
      <c r="A5" s="11" t="s">
        <v>240</v>
      </c>
      <c r="B5" s="11" t="s">
        <v>104</v>
      </c>
      <c r="C5" s="11" t="s">
        <v>241</v>
      </c>
      <c r="D5" s="10" t="s">
        <v>62</v>
      </c>
      <c r="E5" s="11" t="n">
        <v>100</v>
      </c>
      <c r="F5" s="11" t="s">
        <v>242</v>
      </c>
      <c r="G5" s="11" t="s">
        <v>219</v>
      </c>
      <c r="H5" s="11" t="s">
        <v>243</v>
      </c>
      <c r="I5" s="11" t="s">
        <v>244</v>
      </c>
      <c r="J5" s="11" t="s">
        <v>245</v>
      </c>
      <c r="K5" s="15" t="n">
        <v>7.2</v>
      </c>
      <c r="L5" s="13" t="n">
        <f aca="false">K5*1000000000/'Read me'!$B$4</f>
        <v>280592.361652377</v>
      </c>
      <c r="M5" s="14" t="n">
        <f aca="false">K5*1000/E5</f>
        <v>72</v>
      </c>
      <c r="N5" s="11" t="s">
        <v>246</v>
      </c>
      <c r="O5" s="11" t="s">
        <v>247</v>
      </c>
      <c r="P5" s="11" t="s">
        <v>248</v>
      </c>
      <c r="Q5" s="11" t="s">
        <v>249</v>
      </c>
      <c r="R5" s="11" t="s">
        <v>250</v>
      </c>
      <c r="S5" s="11" t="s">
        <v>251</v>
      </c>
      <c r="T5" s="15" t="n">
        <v>3</v>
      </c>
      <c r="U5" s="15" t="n">
        <v>4</v>
      </c>
      <c r="V5" s="15" t="n">
        <v>4</v>
      </c>
      <c r="W5" s="15" t="n">
        <v>3</v>
      </c>
      <c r="X5" s="9" t="n">
        <f aca="false">T5+U5+V5+2*W5</f>
        <v>17</v>
      </c>
      <c r="Y5" s="11" t="n">
        <f aca="false">RANK(X5,$X$2:$X$22)</f>
        <v>4</v>
      </c>
      <c r="Z5" s="11"/>
    </row>
    <row r="6" customFormat="false" ht="39.55" hidden="false" customHeight="false" outlineLevel="0" collapsed="false">
      <c r="A6" s="11" t="s">
        <v>252</v>
      </c>
      <c r="B6" s="11" t="s">
        <v>104</v>
      </c>
      <c r="C6" s="11" t="s">
        <v>253</v>
      </c>
      <c r="D6" s="10" t="s">
        <v>62</v>
      </c>
      <c r="E6" s="11" t="n">
        <v>51</v>
      </c>
      <c r="F6" s="11" t="s">
        <v>231</v>
      </c>
      <c r="G6" s="11" t="s">
        <v>254</v>
      </c>
      <c r="H6" s="11" t="s">
        <v>209</v>
      </c>
      <c r="I6" s="11" t="s">
        <v>209</v>
      </c>
      <c r="J6" s="11" t="s">
        <v>69</v>
      </c>
      <c r="K6" s="15" t="n">
        <v>6</v>
      </c>
      <c r="L6" s="13" t="n">
        <f aca="false">K6*1000000000/'Read me'!$B$4</f>
        <v>233826.968043648</v>
      </c>
      <c r="M6" s="14" t="n">
        <f aca="false">K6*1000/E6</f>
        <v>117.647058823529</v>
      </c>
      <c r="N6" s="11" t="s">
        <v>255</v>
      </c>
      <c r="O6" s="11" t="s">
        <v>256</v>
      </c>
      <c r="P6" s="11" t="s">
        <v>257</v>
      </c>
      <c r="Q6" s="11" t="s">
        <v>258</v>
      </c>
      <c r="R6" s="11" t="s">
        <v>259</v>
      </c>
      <c r="S6" s="11" t="s">
        <v>260</v>
      </c>
      <c r="T6" s="15" t="n">
        <v>3</v>
      </c>
      <c r="U6" s="15" t="n">
        <v>3</v>
      </c>
      <c r="V6" s="15" t="n">
        <v>2</v>
      </c>
      <c r="W6" s="15" t="n">
        <v>1</v>
      </c>
      <c r="X6" s="9" t="n">
        <f aca="false">T6+U6+V6+2*W6</f>
        <v>10</v>
      </c>
      <c r="Y6" s="11" t="n">
        <f aca="false">RANK(X6,$X$2:$X$22)</f>
        <v>19</v>
      </c>
      <c r="Z6" s="11"/>
    </row>
    <row r="7" customFormat="false" ht="52.2" hidden="false" customHeight="false" outlineLevel="0" collapsed="false">
      <c r="A7" s="11" t="s">
        <v>261</v>
      </c>
      <c r="B7" s="11" t="s">
        <v>104</v>
      </c>
      <c r="C7" s="11" t="s">
        <v>262</v>
      </c>
      <c r="D7" s="10" t="s">
        <v>62</v>
      </c>
      <c r="E7" s="11" t="n">
        <v>84</v>
      </c>
      <c r="F7" s="11" t="s">
        <v>231</v>
      </c>
      <c r="G7" s="11" t="s">
        <v>263</v>
      </c>
      <c r="H7" s="11" t="s">
        <v>264</v>
      </c>
      <c r="I7" s="11" t="s">
        <v>209</v>
      </c>
      <c r="J7" s="11" t="s">
        <v>112</v>
      </c>
      <c r="K7" s="15" t="n">
        <v>6.8</v>
      </c>
      <c r="L7" s="13" t="n">
        <f aca="false">K7*1000000000/'Read me'!$B$4</f>
        <v>265003.897116134</v>
      </c>
      <c r="M7" s="14" t="n">
        <f aca="false">K7*1000/E7</f>
        <v>80.952380952381</v>
      </c>
      <c r="N7" s="11" t="s">
        <v>265</v>
      </c>
      <c r="O7" s="11" t="s">
        <v>266</v>
      </c>
      <c r="P7" s="11" t="s">
        <v>267</v>
      </c>
      <c r="Q7" s="11" t="s">
        <v>268</v>
      </c>
      <c r="R7" s="11" t="s">
        <v>269</v>
      </c>
      <c r="S7" s="11" t="s">
        <v>270</v>
      </c>
      <c r="T7" s="15" t="n">
        <v>3</v>
      </c>
      <c r="U7" s="15" t="n">
        <v>3</v>
      </c>
      <c r="V7" s="15" t="n">
        <v>4</v>
      </c>
      <c r="W7" s="15" t="n">
        <v>2</v>
      </c>
      <c r="X7" s="9" t="n">
        <f aca="false">T7+U7+V7+2*W7</f>
        <v>14</v>
      </c>
      <c r="Y7" s="11" t="n">
        <f aca="false">RANK(X7,$X$2:$X$22)</f>
        <v>9</v>
      </c>
      <c r="Z7" s="11"/>
    </row>
    <row r="8" customFormat="false" ht="39.55" hidden="false" customHeight="false" outlineLevel="0" collapsed="false">
      <c r="A8" s="11" t="s">
        <v>271</v>
      </c>
      <c r="B8" s="11" t="s">
        <v>104</v>
      </c>
      <c r="C8" s="11" t="s">
        <v>272</v>
      </c>
      <c r="D8" s="10" t="s">
        <v>62</v>
      </c>
      <c r="E8" s="11" t="n">
        <v>60</v>
      </c>
      <c r="F8" s="11" t="s">
        <v>231</v>
      </c>
      <c r="G8" s="11" t="s">
        <v>273</v>
      </c>
      <c r="H8" s="11" t="s">
        <v>209</v>
      </c>
      <c r="I8" s="11" t="s">
        <v>274</v>
      </c>
      <c r="J8" s="11" t="s">
        <v>65</v>
      </c>
      <c r="K8" s="15" t="n">
        <v>7.28</v>
      </c>
      <c r="L8" s="13" t="n">
        <f aca="false">K8*1000000000/'Read me'!$B$4</f>
        <v>283710.054559626</v>
      </c>
      <c r="M8" s="14" t="n">
        <f aca="false">K8*1000/E8</f>
        <v>121.333333333333</v>
      </c>
      <c r="N8" s="11" t="s">
        <v>275</v>
      </c>
      <c r="O8" s="11" t="s">
        <v>276</v>
      </c>
      <c r="P8" s="11" t="s">
        <v>277</v>
      </c>
      <c r="Q8" s="11" t="s">
        <v>278</v>
      </c>
      <c r="R8" s="11" t="s">
        <v>279</v>
      </c>
      <c r="S8" s="11" t="s">
        <v>280</v>
      </c>
      <c r="T8" s="15" t="n">
        <v>3</v>
      </c>
      <c r="U8" s="15" t="n">
        <v>4</v>
      </c>
      <c r="V8" s="15" t="n">
        <v>2</v>
      </c>
      <c r="W8" s="15" t="n">
        <v>2</v>
      </c>
      <c r="X8" s="9" t="n">
        <f aca="false">T8+U8+V8+2*W8</f>
        <v>13</v>
      </c>
      <c r="Y8" s="11" t="n">
        <f aca="false">RANK(X8,$X$2:$X$22)</f>
        <v>13</v>
      </c>
      <c r="Z8" s="11"/>
    </row>
    <row r="9" customFormat="false" ht="39.55" hidden="false" customHeight="false" outlineLevel="0" collapsed="false">
      <c r="A9" s="16" t="s">
        <v>281</v>
      </c>
      <c r="B9" s="16" t="s">
        <v>104</v>
      </c>
      <c r="C9" s="16" t="s">
        <v>282</v>
      </c>
      <c r="D9" s="17" t="s">
        <v>62</v>
      </c>
      <c r="E9" s="16" t="n">
        <v>56</v>
      </c>
      <c r="F9" s="16" t="s">
        <v>231</v>
      </c>
      <c r="G9" s="16" t="s">
        <v>273</v>
      </c>
      <c r="H9" s="16" t="s">
        <v>209</v>
      </c>
      <c r="I9" s="16" t="s">
        <v>283</v>
      </c>
      <c r="J9" s="16" t="s">
        <v>117</v>
      </c>
      <c r="K9" s="18" t="n">
        <v>7.28</v>
      </c>
      <c r="L9" s="19" t="n">
        <f aca="false">K9*1000000000/'Read me'!$B$4</f>
        <v>283710.054559626</v>
      </c>
      <c r="M9" s="20" t="n">
        <f aca="false">K9*1000/E9</f>
        <v>130</v>
      </c>
      <c r="N9" s="16" t="s">
        <v>284</v>
      </c>
      <c r="O9" s="16" t="s">
        <v>284</v>
      </c>
      <c r="P9" s="16" t="s">
        <v>284</v>
      </c>
      <c r="Q9" s="16" t="s">
        <v>284</v>
      </c>
      <c r="R9" s="16" t="s">
        <v>285</v>
      </c>
      <c r="S9" s="16" t="s">
        <v>286</v>
      </c>
      <c r="T9" s="18" t="n">
        <v>3</v>
      </c>
      <c r="U9" s="18" t="n">
        <v>4</v>
      </c>
      <c r="V9" s="18" t="n">
        <v>2</v>
      </c>
      <c r="W9" s="18" t="n">
        <v>1</v>
      </c>
      <c r="X9" s="21" t="n">
        <f aca="false">T9+U9+V9+2*W9</f>
        <v>11</v>
      </c>
      <c r="Y9" s="16" t="n">
        <f aca="false">RANK(X9,$X$2:$X$22)</f>
        <v>18</v>
      </c>
      <c r="Z9" s="16" t="s">
        <v>228</v>
      </c>
    </row>
    <row r="10" customFormat="false" ht="26.85" hidden="false" customHeight="false" outlineLevel="0" collapsed="false">
      <c r="A10" s="11" t="s">
        <v>287</v>
      </c>
      <c r="B10" s="11" t="s">
        <v>104</v>
      </c>
      <c r="C10" s="11" t="s">
        <v>288</v>
      </c>
      <c r="D10" s="10" t="s">
        <v>62</v>
      </c>
      <c r="E10" s="11" t="n">
        <v>51.6</v>
      </c>
      <c r="F10" s="11" t="s">
        <v>289</v>
      </c>
      <c r="G10" s="11" t="s">
        <v>290</v>
      </c>
      <c r="H10" s="11" t="s">
        <v>291</v>
      </c>
      <c r="I10" s="11" t="s">
        <v>209</v>
      </c>
      <c r="J10" s="11" t="s">
        <v>69</v>
      </c>
      <c r="K10" s="15" t="n">
        <v>5.62</v>
      </c>
      <c r="L10" s="13" t="n">
        <f aca="false">K10*1000000000/'Read me'!$B$4</f>
        <v>219017.926734217</v>
      </c>
      <c r="M10" s="14" t="n">
        <f aca="false">K10*1000/E10</f>
        <v>108.914728682171</v>
      </c>
      <c r="N10" s="11" t="s">
        <v>292</v>
      </c>
      <c r="O10" s="11" t="s">
        <v>293</v>
      </c>
      <c r="P10" s="11" t="s">
        <v>294</v>
      </c>
      <c r="Q10" s="11" t="s">
        <v>295</v>
      </c>
      <c r="R10" s="11" t="s">
        <v>296</v>
      </c>
      <c r="S10" s="11" t="s">
        <v>297</v>
      </c>
      <c r="T10" s="15" t="n">
        <v>3</v>
      </c>
      <c r="U10" s="15" t="n">
        <v>4</v>
      </c>
      <c r="V10" s="15" t="n">
        <v>3</v>
      </c>
      <c r="W10" s="15" t="n">
        <v>2</v>
      </c>
      <c r="X10" s="9" t="n">
        <f aca="false">T10+U10+V10+2*W10</f>
        <v>14</v>
      </c>
      <c r="Y10" s="11" t="n">
        <f aca="false">RANK(X10,$X$2:$X$22)</f>
        <v>9</v>
      </c>
      <c r="Z10" s="11"/>
    </row>
    <row r="11" customFormat="false" ht="39.55" hidden="false" customHeight="false" outlineLevel="0" collapsed="false">
      <c r="A11" s="11" t="s">
        <v>298</v>
      </c>
      <c r="B11" s="11" t="s">
        <v>104</v>
      </c>
      <c r="C11" s="11" t="s">
        <v>299</v>
      </c>
      <c r="D11" s="10" t="s">
        <v>62</v>
      </c>
      <c r="E11" s="11" t="n">
        <v>60</v>
      </c>
      <c r="F11" s="11" t="s">
        <v>273</v>
      </c>
      <c r="G11" s="11" t="s">
        <v>263</v>
      </c>
      <c r="H11" s="11" t="s">
        <v>300</v>
      </c>
      <c r="I11" s="11" t="s">
        <v>209</v>
      </c>
      <c r="J11" s="11" t="s">
        <v>69</v>
      </c>
      <c r="K11" s="15" t="n">
        <v>6.9</v>
      </c>
      <c r="L11" s="13" t="n">
        <f aca="false">K11*1000000000/'Read me'!$B$4</f>
        <v>268901.013250195</v>
      </c>
      <c r="M11" s="14" t="n">
        <f aca="false">K11*1000/E11</f>
        <v>115</v>
      </c>
      <c r="N11" s="11" t="s">
        <v>301</v>
      </c>
      <c r="O11" s="11" t="s">
        <v>302</v>
      </c>
      <c r="P11" s="11" t="s">
        <v>303</v>
      </c>
      <c r="Q11" s="11" t="s">
        <v>304</v>
      </c>
      <c r="R11" s="11" t="s">
        <v>305</v>
      </c>
      <c r="S11" s="11" t="s">
        <v>306</v>
      </c>
      <c r="T11" s="15" t="n">
        <v>3</v>
      </c>
      <c r="U11" s="15" t="n">
        <v>4</v>
      </c>
      <c r="V11" s="15" t="n">
        <v>2</v>
      </c>
      <c r="W11" s="15" t="n">
        <v>2</v>
      </c>
      <c r="X11" s="9" t="n">
        <f aca="false">T11+U11+V11+2*W11</f>
        <v>13</v>
      </c>
      <c r="Y11" s="11" t="n">
        <f aca="false">RANK(X11,$X$2:$X$22)</f>
        <v>13</v>
      </c>
      <c r="Z11" s="11"/>
    </row>
    <row r="12" customFormat="false" ht="39.55" hidden="false" customHeight="false" outlineLevel="0" collapsed="false">
      <c r="A12" s="11" t="s">
        <v>307</v>
      </c>
      <c r="B12" s="11" t="s">
        <v>104</v>
      </c>
      <c r="C12" s="11" t="s">
        <v>308</v>
      </c>
      <c r="D12" s="10" t="s">
        <v>62</v>
      </c>
      <c r="E12" s="11" t="n">
        <v>70</v>
      </c>
      <c r="F12" s="11" t="s">
        <v>309</v>
      </c>
      <c r="G12" s="11" t="s">
        <v>310</v>
      </c>
      <c r="H12" s="11" t="s">
        <v>311</v>
      </c>
      <c r="I12" s="11" t="s">
        <v>312</v>
      </c>
      <c r="J12" s="11" t="s">
        <v>65</v>
      </c>
      <c r="K12" s="15" t="n">
        <v>3.9</v>
      </c>
      <c r="L12" s="13" t="n">
        <f aca="false">K12*1000000000/'Read me'!$B$4</f>
        <v>151987.529228371</v>
      </c>
      <c r="M12" s="14" t="n">
        <f aca="false">K12*1000/E12</f>
        <v>55.7142857142857</v>
      </c>
      <c r="N12" s="11" t="s">
        <v>313</v>
      </c>
      <c r="O12" s="11" t="s">
        <v>314</v>
      </c>
      <c r="P12" s="11" t="s">
        <v>315</v>
      </c>
      <c r="Q12" s="11" t="s">
        <v>316</v>
      </c>
      <c r="R12" s="11" t="s">
        <v>317</v>
      </c>
      <c r="S12" s="11" t="s">
        <v>318</v>
      </c>
      <c r="T12" s="15" t="n">
        <v>3</v>
      </c>
      <c r="U12" s="15" t="n">
        <v>4</v>
      </c>
      <c r="V12" s="15" t="n">
        <v>4</v>
      </c>
      <c r="W12" s="15" t="n">
        <v>3</v>
      </c>
      <c r="X12" s="9" t="n">
        <f aca="false">T12+U12+V12+2*W12</f>
        <v>17</v>
      </c>
      <c r="Y12" s="11" t="n">
        <f aca="false">RANK(X12,$X$2:$X$22)</f>
        <v>4</v>
      </c>
      <c r="Z12" s="11"/>
    </row>
    <row r="13" customFormat="false" ht="39.55" hidden="false" customHeight="false" outlineLevel="0" collapsed="false">
      <c r="A13" s="16" t="s">
        <v>319</v>
      </c>
      <c r="B13" s="16" t="s">
        <v>104</v>
      </c>
      <c r="C13" s="16" t="s">
        <v>320</v>
      </c>
      <c r="D13" s="17" t="s">
        <v>62</v>
      </c>
      <c r="E13" s="16" t="n">
        <v>136</v>
      </c>
      <c r="F13" s="16" t="s">
        <v>321</v>
      </c>
      <c r="G13" s="16" t="s">
        <v>254</v>
      </c>
      <c r="H13" s="16" t="s">
        <v>322</v>
      </c>
      <c r="I13" s="16" t="s">
        <v>323</v>
      </c>
      <c r="J13" s="16" t="s">
        <v>69</v>
      </c>
      <c r="K13" s="18" t="n">
        <v>3.3</v>
      </c>
      <c r="L13" s="19" t="n">
        <f aca="false">K13*1000000000/'Read me'!$B$4</f>
        <v>128604.832424006</v>
      </c>
      <c r="M13" s="20" t="n">
        <f aca="false">K13*1000/E13</f>
        <v>24.2647058823529</v>
      </c>
      <c r="N13" s="16" t="s">
        <v>324</v>
      </c>
      <c r="O13" s="16" t="s">
        <v>325</v>
      </c>
      <c r="P13" s="16" t="s">
        <v>326</v>
      </c>
      <c r="Q13" s="16" t="s">
        <v>327</v>
      </c>
      <c r="R13" s="16" t="s">
        <v>328</v>
      </c>
      <c r="S13" s="16" t="s">
        <v>329</v>
      </c>
      <c r="T13" s="18" t="n">
        <v>3</v>
      </c>
      <c r="U13" s="18" t="n">
        <v>3</v>
      </c>
      <c r="V13" s="18" t="n">
        <v>1</v>
      </c>
      <c r="W13" s="18" t="n">
        <v>1</v>
      </c>
      <c r="X13" s="21" t="n">
        <f aca="false">T13+U13+V13+2*W13</f>
        <v>9</v>
      </c>
      <c r="Y13" s="16" t="n">
        <f aca="false">RANK(X13,$X$2:$X$22)</f>
        <v>21</v>
      </c>
      <c r="Z13" s="16" t="s">
        <v>228</v>
      </c>
    </row>
    <row r="14" customFormat="false" ht="52.2" hidden="false" customHeight="false" outlineLevel="0" collapsed="false">
      <c r="A14" s="11" t="s">
        <v>330</v>
      </c>
      <c r="B14" s="11" t="s">
        <v>104</v>
      </c>
      <c r="C14" s="11" t="s">
        <v>331</v>
      </c>
      <c r="D14" s="10" t="s">
        <v>62</v>
      </c>
      <c r="E14" s="11" t="n">
        <v>57</v>
      </c>
      <c r="F14" s="11" t="s">
        <v>332</v>
      </c>
      <c r="G14" s="11" t="s">
        <v>333</v>
      </c>
      <c r="H14" s="11" t="s">
        <v>334</v>
      </c>
      <c r="I14" s="11" t="s">
        <v>335</v>
      </c>
      <c r="J14" s="11" t="s">
        <v>132</v>
      </c>
      <c r="K14" s="15" t="n">
        <v>5.5</v>
      </c>
      <c r="L14" s="13" t="n">
        <f aca="false">K14*1000000000/'Read me'!$B$4</f>
        <v>214341.387373344</v>
      </c>
      <c r="M14" s="14" t="n">
        <f aca="false">K14*1000/E14</f>
        <v>96.4912280701754</v>
      </c>
      <c r="N14" s="11" t="s">
        <v>336</v>
      </c>
      <c r="O14" s="11" t="s">
        <v>302</v>
      </c>
      <c r="P14" s="11" t="s">
        <v>337</v>
      </c>
      <c r="Q14" s="11" t="s">
        <v>338</v>
      </c>
      <c r="R14" s="11" t="s">
        <v>339</v>
      </c>
      <c r="S14" s="11" t="s">
        <v>340</v>
      </c>
      <c r="T14" s="15" t="n">
        <v>3</v>
      </c>
      <c r="U14" s="15" t="n">
        <v>4</v>
      </c>
      <c r="V14" s="15" t="n">
        <v>3</v>
      </c>
      <c r="W14" s="15" t="n">
        <v>4</v>
      </c>
      <c r="X14" s="9" t="n">
        <f aca="false">T14+U14+V14+2*W14</f>
        <v>18</v>
      </c>
      <c r="Y14" s="11" t="n">
        <f aca="false">RANK(X14,$X$2:$X$22)</f>
        <v>2</v>
      </c>
      <c r="Z14" s="11"/>
    </row>
    <row r="15" customFormat="false" ht="39.55" hidden="false" customHeight="false" outlineLevel="0" collapsed="false">
      <c r="A15" s="11" t="s">
        <v>341</v>
      </c>
      <c r="B15" s="11" t="s">
        <v>104</v>
      </c>
      <c r="C15" s="11" t="s">
        <v>342</v>
      </c>
      <c r="D15" s="10" t="s">
        <v>62</v>
      </c>
      <c r="E15" s="11" t="n">
        <v>52</v>
      </c>
      <c r="F15" s="11" t="s">
        <v>343</v>
      </c>
      <c r="G15" s="11" t="s">
        <v>344</v>
      </c>
      <c r="H15" s="11" t="s">
        <v>345</v>
      </c>
      <c r="I15" s="11" t="s">
        <v>346</v>
      </c>
      <c r="J15" s="11" t="s">
        <v>136</v>
      </c>
      <c r="K15" s="15" t="n">
        <v>4.7</v>
      </c>
      <c r="L15" s="13" t="n">
        <f aca="false">K15*1000000000/'Read me'!$B$4</f>
        <v>183164.458300857</v>
      </c>
      <c r="M15" s="14" t="n">
        <f aca="false">K15*1000/E15</f>
        <v>90.3846153846154</v>
      </c>
      <c r="N15" s="11" t="s">
        <v>347</v>
      </c>
      <c r="O15" s="11" t="s">
        <v>348</v>
      </c>
      <c r="P15" s="11" t="s">
        <v>349</v>
      </c>
      <c r="Q15" s="11" t="s">
        <v>350</v>
      </c>
      <c r="R15" s="11" t="s">
        <v>351</v>
      </c>
      <c r="S15" s="11" t="s">
        <v>352</v>
      </c>
      <c r="T15" s="15" t="n">
        <v>3</v>
      </c>
      <c r="U15" s="15" t="n">
        <v>4</v>
      </c>
      <c r="V15" s="15" t="n">
        <v>3</v>
      </c>
      <c r="W15" s="15" t="n">
        <v>2</v>
      </c>
      <c r="X15" s="9" t="n">
        <f aca="false">T15+U15+V15+2*W15</f>
        <v>14</v>
      </c>
      <c r="Y15" s="11" t="n">
        <f aca="false">RANK(X15,$X$2:$X$22)</f>
        <v>9</v>
      </c>
      <c r="Z15" s="11"/>
    </row>
    <row r="16" customFormat="false" ht="39.55" hidden="false" customHeight="false" outlineLevel="0" collapsed="false">
      <c r="A16" s="11" t="s">
        <v>353</v>
      </c>
      <c r="B16" s="11" t="s">
        <v>104</v>
      </c>
      <c r="C16" s="11" t="s">
        <v>354</v>
      </c>
      <c r="D16" s="10" t="s">
        <v>62</v>
      </c>
      <c r="E16" s="11" t="n">
        <v>52</v>
      </c>
      <c r="F16" s="11" t="s">
        <v>231</v>
      </c>
      <c r="G16" s="11" t="s">
        <v>355</v>
      </c>
      <c r="H16" s="11" t="s">
        <v>233</v>
      </c>
      <c r="I16" s="11" t="s">
        <v>356</v>
      </c>
      <c r="J16" s="11" t="s">
        <v>140</v>
      </c>
      <c r="K16" s="15" t="n">
        <v>6.8</v>
      </c>
      <c r="L16" s="13" t="n">
        <f aca="false">K16*1000000000/'Read me'!$B$4</f>
        <v>265003.897116134</v>
      </c>
      <c r="M16" s="14" t="n">
        <f aca="false">K16*1000/E16</f>
        <v>130.769230769231</v>
      </c>
      <c r="N16" s="11" t="s">
        <v>357</v>
      </c>
      <c r="O16" s="11" t="s">
        <v>358</v>
      </c>
      <c r="P16" s="11" t="s">
        <v>359</v>
      </c>
      <c r="Q16" s="11" t="s">
        <v>350</v>
      </c>
      <c r="R16" s="11" t="s">
        <v>360</v>
      </c>
      <c r="S16" s="11" t="s">
        <v>361</v>
      </c>
      <c r="T16" s="15" t="n">
        <v>3</v>
      </c>
      <c r="U16" s="15" t="n">
        <v>4</v>
      </c>
      <c r="V16" s="15" t="n">
        <v>2</v>
      </c>
      <c r="W16" s="15" t="n">
        <v>4</v>
      </c>
      <c r="X16" s="9" t="n">
        <f aca="false">T16+U16+V16+2*W16</f>
        <v>17</v>
      </c>
      <c r="Y16" s="11" t="n">
        <f aca="false">RANK(X16,$X$2:$X$22)</f>
        <v>4</v>
      </c>
      <c r="Z16" s="11"/>
    </row>
    <row r="17" customFormat="false" ht="39.55" hidden="false" customHeight="false" outlineLevel="0" collapsed="false">
      <c r="A17" s="22" t="s">
        <v>362</v>
      </c>
      <c r="B17" s="22" t="s">
        <v>104</v>
      </c>
      <c r="C17" s="22" t="s">
        <v>363</v>
      </c>
      <c r="D17" s="23" t="s">
        <v>62</v>
      </c>
      <c r="E17" s="22" t="n">
        <v>53</v>
      </c>
      <c r="F17" s="22" t="s">
        <v>364</v>
      </c>
      <c r="G17" s="22" t="s">
        <v>365</v>
      </c>
      <c r="H17" s="22" t="s">
        <v>366</v>
      </c>
      <c r="I17" s="22" t="s">
        <v>367</v>
      </c>
      <c r="J17" s="22" t="s">
        <v>144</v>
      </c>
      <c r="K17" s="24" t="n">
        <v>5.8</v>
      </c>
      <c r="L17" s="25" t="n">
        <f aca="false">K17*1000000000/'Read me'!$B$4</f>
        <v>226032.735775526</v>
      </c>
      <c r="M17" s="26" t="n">
        <f aca="false">K17*1000/E17</f>
        <v>109.433962264151</v>
      </c>
      <c r="N17" s="22" t="s">
        <v>368</v>
      </c>
      <c r="O17" s="22" t="s">
        <v>369</v>
      </c>
      <c r="P17" s="22" t="s">
        <v>370</v>
      </c>
      <c r="Q17" s="22" t="s">
        <v>371</v>
      </c>
      <c r="R17" s="22" t="s">
        <v>372</v>
      </c>
      <c r="S17" s="22" t="s">
        <v>373</v>
      </c>
      <c r="T17" s="24" t="n">
        <v>4</v>
      </c>
      <c r="U17" s="24" t="n">
        <v>4</v>
      </c>
      <c r="V17" s="24" t="n">
        <v>4</v>
      </c>
      <c r="W17" s="24" t="n">
        <v>4</v>
      </c>
      <c r="X17" s="27" t="n">
        <f aca="false">T17+U17+V17+2*W17</f>
        <v>20</v>
      </c>
      <c r="Y17" s="22" t="n">
        <f aca="false">RANK(X17,$X$2:$X$22)</f>
        <v>1</v>
      </c>
      <c r="Z17" s="22" t="s">
        <v>374</v>
      </c>
    </row>
    <row r="18" customFormat="false" ht="52.2" hidden="false" customHeight="false" outlineLevel="0" collapsed="false">
      <c r="A18" s="11" t="s">
        <v>375</v>
      </c>
      <c r="B18" s="11" t="s">
        <v>104</v>
      </c>
      <c r="C18" s="11" t="s">
        <v>376</v>
      </c>
      <c r="D18" s="10" t="s">
        <v>62</v>
      </c>
      <c r="E18" s="11" t="n">
        <v>53</v>
      </c>
      <c r="F18" s="11" t="s">
        <v>289</v>
      </c>
      <c r="G18" s="11" t="s">
        <v>377</v>
      </c>
      <c r="H18" s="11" t="s">
        <v>378</v>
      </c>
      <c r="I18" s="11" t="s">
        <v>379</v>
      </c>
      <c r="J18" s="11" t="s">
        <v>148</v>
      </c>
      <c r="K18" s="15" t="n">
        <v>4.9</v>
      </c>
      <c r="L18" s="13" t="n">
        <f aca="false">K18*1000000000/'Read me'!$B$4</f>
        <v>190958.690568979</v>
      </c>
      <c r="M18" s="14" t="n">
        <f aca="false">K18*1000/E18</f>
        <v>92.4528301886792</v>
      </c>
      <c r="N18" s="11" t="s">
        <v>380</v>
      </c>
      <c r="O18" s="11" t="s">
        <v>381</v>
      </c>
      <c r="P18" s="11" t="s">
        <v>382</v>
      </c>
      <c r="Q18" s="11" t="s">
        <v>383</v>
      </c>
      <c r="R18" s="11" t="s">
        <v>384</v>
      </c>
      <c r="S18" s="11" t="s">
        <v>385</v>
      </c>
      <c r="T18" s="15" t="n">
        <v>3</v>
      </c>
      <c r="U18" s="15" t="n">
        <v>3</v>
      </c>
      <c r="V18" s="15" t="n">
        <v>3</v>
      </c>
      <c r="W18" s="15" t="n">
        <v>2</v>
      </c>
      <c r="X18" s="9" t="n">
        <f aca="false">T18+U18+V18+2*W18</f>
        <v>13</v>
      </c>
      <c r="Y18" s="11" t="n">
        <f aca="false">RANK(X18,$X$2:$X$22)</f>
        <v>13</v>
      </c>
      <c r="Z18" s="11"/>
    </row>
    <row r="19" customFormat="false" ht="39.55" hidden="false" customHeight="false" outlineLevel="0" collapsed="false">
      <c r="A19" s="11" t="s">
        <v>386</v>
      </c>
      <c r="B19" s="11" t="s">
        <v>104</v>
      </c>
      <c r="C19" s="11" t="s">
        <v>387</v>
      </c>
      <c r="D19" s="10" t="s">
        <v>62</v>
      </c>
      <c r="E19" s="11" t="n">
        <v>59.1</v>
      </c>
      <c r="F19" s="11" t="s">
        <v>273</v>
      </c>
      <c r="G19" s="11" t="s">
        <v>388</v>
      </c>
      <c r="H19" s="11" t="s">
        <v>221</v>
      </c>
      <c r="I19" s="11" t="s">
        <v>221</v>
      </c>
      <c r="J19" s="11" t="s">
        <v>153</v>
      </c>
      <c r="K19" s="15" t="n">
        <v>5.05</v>
      </c>
      <c r="L19" s="13" t="n">
        <f aca="false">K19*1000000000/'Read me'!$B$4</f>
        <v>196804.36477007</v>
      </c>
      <c r="M19" s="14" t="n">
        <f aca="false">K19*1000/E19</f>
        <v>85.4483925549915</v>
      </c>
      <c r="N19" s="11" t="s">
        <v>389</v>
      </c>
      <c r="O19" s="11" t="s">
        <v>390</v>
      </c>
      <c r="P19" s="11" t="s">
        <v>391</v>
      </c>
      <c r="Q19" s="11" t="s">
        <v>392</v>
      </c>
      <c r="R19" s="11" t="s">
        <v>393</v>
      </c>
      <c r="S19" s="11" t="s">
        <v>394</v>
      </c>
      <c r="T19" s="15" t="n">
        <v>3</v>
      </c>
      <c r="U19" s="15" t="n">
        <v>4</v>
      </c>
      <c r="V19" s="15" t="n">
        <v>3</v>
      </c>
      <c r="W19" s="15" t="n">
        <v>2</v>
      </c>
      <c r="X19" s="9" t="n">
        <f aca="false">T19+U19+V19+2*W19</f>
        <v>14</v>
      </c>
      <c r="Y19" s="11" t="n">
        <f aca="false">RANK(X19,$X$2:$X$22)</f>
        <v>9</v>
      </c>
      <c r="Z19" s="11"/>
    </row>
    <row r="20" customFormat="false" ht="39.55" hidden="false" customHeight="false" outlineLevel="0" collapsed="false">
      <c r="A20" s="16" t="s">
        <v>395</v>
      </c>
      <c r="B20" s="16" t="s">
        <v>104</v>
      </c>
      <c r="C20" s="16" t="s">
        <v>396</v>
      </c>
      <c r="D20" s="17" t="s">
        <v>62</v>
      </c>
      <c r="E20" s="16" t="n">
        <v>88</v>
      </c>
      <c r="F20" s="16" t="s">
        <v>289</v>
      </c>
      <c r="G20" s="16" t="s">
        <v>397</v>
      </c>
      <c r="H20" s="16" t="s">
        <v>398</v>
      </c>
      <c r="I20" s="16" t="s">
        <v>379</v>
      </c>
      <c r="J20" s="16" t="s">
        <v>157</v>
      </c>
      <c r="K20" s="18" t="n">
        <v>5.8</v>
      </c>
      <c r="L20" s="19" t="n">
        <f aca="false">K20*1000000000/'Read me'!$B$4</f>
        <v>226032.735775526</v>
      </c>
      <c r="M20" s="20" t="n">
        <f aca="false">K20*1000/E20</f>
        <v>65.9090909090909</v>
      </c>
      <c r="N20" s="16" t="s">
        <v>399</v>
      </c>
      <c r="O20" s="16" t="s">
        <v>400</v>
      </c>
      <c r="P20" s="16" t="s">
        <v>401</v>
      </c>
      <c r="Q20" s="16" t="s">
        <v>402</v>
      </c>
      <c r="R20" s="16" t="s">
        <v>403</v>
      </c>
      <c r="S20" s="16" t="s">
        <v>404</v>
      </c>
      <c r="T20" s="18" t="n">
        <v>4</v>
      </c>
      <c r="U20" s="18" t="n">
        <v>4</v>
      </c>
      <c r="V20" s="18" t="n">
        <v>2</v>
      </c>
      <c r="W20" s="18" t="n">
        <v>1</v>
      </c>
      <c r="X20" s="21" t="n">
        <f aca="false">T20+U20+V20+2*W20</f>
        <v>12</v>
      </c>
      <c r="Y20" s="16" t="n">
        <f aca="false">RANK(X20,$X$2:$X$22)</f>
        <v>16</v>
      </c>
      <c r="Z20" s="16" t="s">
        <v>228</v>
      </c>
    </row>
    <row r="21" customFormat="false" ht="39.55" hidden="false" customHeight="false" outlineLevel="0" collapsed="false">
      <c r="A21" s="11" t="s">
        <v>405</v>
      </c>
      <c r="B21" s="11" t="s">
        <v>104</v>
      </c>
      <c r="C21" s="11" t="s">
        <v>406</v>
      </c>
      <c r="D21" s="10" t="s">
        <v>62</v>
      </c>
      <c r="E21" s="11" t="n">
        <v>76</v>
      </c>
      <c r="F21" s="11" t="s">
        <v>343</v>
      </c>
      <c r="G21" s="11" t="s">
        <v>219</v>
      </c>
      <c r="H21" s="11" t="s">
        <v>209</v>
      </c>
      <c r="I21" s="11" t="s">
        <v>209</v>
      </c>
      <c r="J21" s="11" t="s">
        <v>65</v>
      </c>
      <c r="K21" s="15" t="n">
        <v>4.64</v>
      </c>
      <c r="L21" s="13" t="n">
        <f aca="false">K21*1000000000/'Read me'!$B$4</f>
        <v>180826.188620421</v>
      </c>
      <c r="M21" s="14" t="n">
        <f aca="false">K21*1000/E21</f>
        <v>61.0526315789474</v>
      </c>
      <c r="N21" s="11" t="s">
        <v>407</v>
      </c>
      <c r="O21" s="11" t="s">
        <v>408</v>
      </c>
      <c r="P21" s="11" t="s">
        <v>409</v>
      </c>
      <c r="Q21" s="11" t="s">
        <v>410</v>
      </c>
      <c r="R21" s="11" t="s">
        <v>411</v>
      </c>
      <c r="S21" s="11" t="s">
        <v>412</v>
      </c>
      <c r="T21" s="15" t="n">
        <v>3</v>
      </c>
      <c r="U21" s="15" t="n">
        <v>4</v>
      </c>
      <c r="V21" s="15" t="n">
        <v>4</v>
      </c>
      <c r="W21" s="15" t="n">
        <v>2</v>
      </c>
      <c r="X21" s="9" t="n">
        <f aca="false">T21+U21+V21+2*W21</f>
        <v>15</v>
      </c>
      <c r="Y21" s="11" t="n">
        <f aca="false">RANK(X21,$X$2:$X$22)</f>
        <v>7</v>
      </c>
      <c r="Z21" s="11"/>
    </row>
    <row r="22" customFormat="false" ht="39.55" hidden="false" customHeight="false" outlineLevel="0" collapsed="false">
      <c r="A22" s="11" t="s">
        <v>413</v>
      </c>
      <c r="B22" s="11" t="s">
        <v>104</v>
      </c>
      <c r="C22" s="11" t="s">
        <v>414</v>
      </c>
      <c r="D22" s="10" t="s">
        <v>62</v>
      </c>
      <c r="E22" s="11" t="n">
        <v>62</v>
      </c>
      <c r="F22" s="11" t="s">
        <v>415</v>
      </c>
      <c r="G22" s="11" t="s">
        <v>416</v>
      </c>
      <c r="H22" s="11" t="s">
        <v>417</v>
      </c>
      <c r="I22" s="11" t="s">
        <v>209</v>
      </c>
      <c r="J22" s="11" t="s">
        <v>117</v>
      </c>
      <c r="K22" s="15" t="n">
        <v>4.99</v>
      </c>
      <c r="L22" s="13" t="n">
        <f aca="false">K22*1000000000/'Read me'!$B$4</f>
        <v>194466.095089634</v>
      </c>
      <c r="M22" s="14" t="n">
        <f aca="false">K22*1000/E22</f>
        <v>80.4838709677419</v>
      </c>
      <c r="N22" s="11" t="s">
        <v>418</v>
      </c>
      <c r="O22" s="11" t="s">
        <v>419</v>
      </c>
      <c r="P22" s="11" t="s">
        <v>420</v>
      </c>
      <c r="Q22" s="11" t="s">
        <v>421</v>
      </c>
      <c r="R22" s="11" t="s">
        <v>422</v>
      </c>
      <c r="S22" s="11" t="s">
        <v>423</v>
      </c>
      <c r="T22" s="15" t="n">
        <v>3</v>
      </c>
      <c r="U22" s="15" t="n">
        <v>3</v>
      </c>
      <c r="V22" s="15" t="n">
        <v>2</v>
      </c>
      <c r="W22" s="15" t="n">
        <v>1</v>
      </c>
      <c r="X22" s="9" t="n">
        <f aca="false">T22+U22+V22+2*W22</f>
        <v>10</v>
      </c>
      <c r="Y22" s="11" t="n">
        <f aca="false">RANK(X22,$X$2:$X$22)</f>
        <v>19</v>
      </c>
      <c r="Z22" s="11"/>
    </row>
    <row r="24" customFormat="false" ht="15" hidden="false" customHeight="false" outlineLevel="0" collapsed="false">
      <c r="A24" s="28" t="s">
        <v>424</v>
      </c>
    </row>
  </sheetData>
  <autoFilter ref="A1:Z22"/>
  <hyperlinks>
    <hyperlink ref="D2" r:id="rId2" display="Open ad"/>
    <hyperlink ref="D3" r:id="rId3" display="Open ad"/>
    <hyperlink ref="D4" r:id="rId4" display="Open ad"/>
    <hyperlink ref="D5" r:id="rId5" display="Open ad"/>
    <hyperlink ref="D6" r:id="rId6" display="Open ad"/>
    <hyperlink ref="D7" r:id="rId7" display="Open ad"/>
    <hyperlink ref="D8" r:id="rId8" display="Open ad"/>
    <hyperlink ref="D9" r:id="rId9" display="Open ad"/>
    <hyperlink ref="D10" r:id="rId10" display="Open ad"/>
    <hyperlink ref="D11" r:id="rId11" display="Open ad"/>
    <hyperlink ref="D12" r:id="rId12" display="Open ad"/>
    <hyperlink ref="D13" r:id="rId13" display="Open ad"/>
    <hyperlink ref="D14" r:id="rId14" display="Open ad"/>
    <hyperlink ref="D15" r:id="rId15" display="Open ad"/>
    <hyperlink ref="D16" r:id="rId16" display="Open ad"/>
    <hyperlink ref="D17" r:id="rId17" display="Open ad"/>
    <hyperlink ref="D18" r:id="rId18" display="Open ad"/>
    <hyperlink ref="D19" r:id="rId19" display="Open ad"/>
    <hyperlink ref="D20" r:id="rId20" display="Open ad"/>
    <hyperlink ref="D21" r:id="rId21" display="Open ad"/>
    <hyperlink ref="D22" r:id="rId22" display="Open a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3"/>
  <legacyDrawing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2026-10-28T07:36:08Z</dcterms:created>
  <dc:creator>openpyxl</dc:creator>
  <dc:description/>
  <dc:language>en-US</dc:language>
  <cp:lastModifiedBy/>
  <dcterms:modified xsi:type="dcterms:W3CDTF">2026-10-28T07:36:08Z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